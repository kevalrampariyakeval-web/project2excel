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xr:revisionPtr revIDLastSave="0" documentId="8_{B79F7EB6-8A6C-4E0D-A69E-8E9DEE9387F9}" xr6:coauthVersionLast="47" xr6:coauthVersionMax="47" xr10:uidLastSave="{00000000-0000-0000-0000-000000000000}"/>
  <bookViews>
    <workbookView xWindow="0" yWindow="0" windowWidth="0" windowHeight="0" firstSheet="8" xr2:uid="{00000000-000D-0000-FFFF-FFFF00000000}"/>
  </bookViews>
  <sheets>
    <sheet name="DashBoard" sheetId="9" r:id="rId1"/>
    <sheet name="Project Instructions" sheetId="1" r:id="rId2"/>
    <sheet name="Pivot 1" sheetId="3" r:id="rId3"/>
    <sheet name="Pivot 2" sheetId="4" r:id="rId4"/>
    <sheet name="Pivot 3" sheetId="5" r:id="rId5"/>
    <sheet name="Bar Chart" sheetId="6" r:id="rId6"/>
    <sheet name="Line Chart" sheetId="7" r:id="rId7"/>
    <sheet name="Pie Chart" sheetId="8" r:id="rId8"/>
    <sheet name="Final Project Dataset" sheetId="2" r:id="rId9"/>
  </sheets>
  <externalReferences>
    <externalReference r:id="rId10"/>
  </externalReferences>
  <calcPr calcId="191028"/>
  <pivotCaches>
    <pivotCache cacheId="136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4" i="2" l="1"/>
  <c r="S289" i="2"/>
  <c r="S285" i="2" a="1"/>
  <c r="S285" i="2"/>
  <c r="S281" i="2"/>
  <c r="S278" i="2"/>
  <c r="S275" i="2"/>
  <c r="S270" i="2"/>
  <c r="S268" i="2"/>
  <c r="S258" i="2"/>
  <c r="S28" i="2" a="1"/>
  <c r="S28" i="2"/>
  <c r="S17" i="2"/>
  <c r="S23" i="2"/>
  <c r="S160" i="2" a="1"/>
  <c r="S160" i="2"/>
  <c r="S21" i="2"/>
  <c r="S1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<sst xmlns="http://schemas.openxmlformats.org/spreadsheetml/2006/main" count="2342" uniqueCount="422">
  <si>
    <t>DashBoard</t>
  </si>
  <si>
    <t>Region</t>
  </si>
  <si>
    <t>Sum of Total_Amount</t>
  </si>
  <si>
    <t>Central</t>
  </si>
  <si>
    <t>East</t>
  </si>
  <si>
    <t>North</t>
  </si>
  <si>
    <t>South</t>
  </si>
  <si>
    <t>West</t>
  </si>
  <si>
    <t>Grand Total</t>
  </si>
  <si>
    <t>Category</t>
  </si>
  <si>
    <t>Appliances</t>
  </si>
  <si>
    <t>Electronics</t>
  </si>
  <si>
    <t>Furniture</t>
  </si>
  <si>
    <t>Date</t>
  </si>
  <si>
    <t>PR. Final Project - "Data Intelligence Dashboard"</t>
  </si>
  <si>
    <r>
      <rPr>
        <b/>
        <sz val="11"/>
        <color rgb="FF000000"/>
        <rFont val="Calibri"/>
      </rPr>
      <t xml:space="preserve">Dataset: </t>
    </r>
    <r>
      <rPr>
        <sz val="11"/>
        <color rgb="FF000000"/>
        <rFont val="Calibri"/>
      </rPr>
      <t xml:space="preserve">Use the 'Final Project Dataset' sheet containing 200+ records of customer transactions.
</t>
    </r>
    <r>
      <rPr>
        <b/>
        <sz val="11"/>
        <color rgb="FF000000"/>
        <rFont val="Calibri"/>
      </rPr>
      <t xml:space="preserve">Objective: 
</t>
    </r>
    <r>
      <rPr>
        <sz val="11"/>
        <color rgb="FF000000"/>
        <rFont val="Calibri"/>
      </rPr>
      <t xml:space="preserve">Create a full-fledged analysis and reporting solution using Excel to analyze customer transactions, find insights, 
and build visualizations and dashboards.
</t>
    </r>
    <r>
      <rPr>
        <b/>
        <sz val="11"/>
        <color rgb="FF367526"/>
        <rFont val="Calibri"/>
      </rPr>
      <t xml:space="preserve">Key Topics to Implement:
</t>
    </r>
    <r>
      <rPr>
        <sz val="11"/>
        <color rgb="FF38761D"/>
        <rFont val="Calibri"/>
      </rPr>
      <t xml:space="preserve">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
</t>
    </r>
    <r>
      <rPr>
        <sz val="11"/>
        <color rgb="FF000000"/>
        <rFont val="Calibri"/>
      </rPr>
      <t xml:space="preserve"> 
</t>
    </r>
    <r>
      <rPr>
        <b/>
        <sz val="11"/>
        <color rgb="FF000000"/>
        <rFont val="Calibri"/>
      </rPr>
      <t xml:space="preserve">Deliverable:
</t>
    </r>
    <r>
      <rPr>
        <sz val="11"/>
        <color rgb="FF000000"/>
        <rFont val="Calibri"/>
      </rPr>
      <t>- Well-structured workbook with multiple sheets (Raw Data, Analysis, Visualizations, Dashboard)
- Summary Insights with key metrics: Total Revenue, Top Customers, Most Sold Products, Regional Sales
- Use of all required formulas and functions as listed above</t>
    </r>
  </si>
  <si>
    <t>Product_Name</t>
  </si>
  <si>
    <t>Blender</t>
  </si>
  <si>
    <t>Bookshelf</t>
  </si>
  <si>
    <t>Coffee Maker</t>
  </si>
  <si>
    <t>Desk</t>
  </si>
  <si>
    <t>Headphones</t>
  </si>
  <si>
    <t>Keyboard</t>
  </si>
  <si>
    <t>Laptop</t>
  </si>
  <si>
    <t>Monitor</t>
  </si>
  <si>
    <t>Office Chair</t>
  </si>
  <si>
    <t>Smartphone</t>
  </si>
  <si>
    <t>Customer_Segment</t>
  </si>
  <si>
    <t>Basic</t>
  </si>
  <si>
    <t>Premium</t>
  </si>
  <si>
    <t>Standard</t>
  </si>
  <si>
    <t>Count of Region</t>
  </si>
  <si>
    <t>Sum of Unit_Price</t>
  </si>
  <si>
    <t>Count of Category</t>
  </si>
  <si>
    <t>Transaction_ID</t>
  </si>
  <si>
    <t>Customer_ID</t>
  </si>
  <si>
    <t>Customer_Name</t>
  </si>
  <si>
    <t>Product_ID</t>
  </si>
  <si>
    <t>Quantity</t>
  </si>
  <si>
    <t>Unit_Price</t>
  </si>
  <si>
    <t>Payment_Method</t>
  </si>
  <si>
    <t>Customer_Since</t>
  </si>
  <si>
    <t>Total_Amount</t>
  </si>
  <si>
    <t>TRX0155</t>
  </si>
  <si>
    <t>CUST023</t>
  </si>
  <si>
    <t>Paul Baker</t>
  </si>
  <si>
    <t>P009</t>
  </si>
  <si>
    <t>Cash</t>
  </si>
  <si>
    <t>TRX0023</t>
  </si>
  <si>
    <t>CUST013</t>
  </si>
  <si>
    <t>Joseph Jackson</t>
  </si>
  <si>
    <t>Credit Card</t>
  </si>
  <si>
    <t>TRX0139</t>
  </si>
  <si>
    <t>CUST021</t>
  </si>
  <si>
    <t>Kevin Scott</t>
  </si>
  <si>
    <t>P005</t>
  </si>
  <si>
    <t>PayPal</t>
  </si>
  <si>
    <t>TRX0043</t>
  </si>
  <si>
    <t>CUST046</t>
  </si>
  <si>
    <t>Kathleen Bennett</t>
  </si>
  <si>
    <t>TRX0212</t>
  </si>
  <si>
    <t>CUST003</t>
  </si>
  <si>
    <t>Michael Brown</t>
  </si>
  <si>
    <t>P008</t>
  </si>
  <si>
    <t>TRX0092</t>
  </si>
  <si>
    <t>CUST024</t>
  </si>
  <si>
    <t>Dorothy Nelson</t>
  </si>
  <si>
    <t>TRX0193</t>
  </si>
  <si>
    <t>P003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</si>
  <si>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</si>
  <si>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</si>
  <si>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</si>
  <si>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</si>
  <si>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</si>
  <si>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</si>
  <si>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</si>
  <si>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</si>
  <si>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</si>
  <si>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</si>
  <si>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</si>
  <si>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</si>
  <si>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</si>
  <si>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</si>
  <si>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</si>
  <si>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</si>
  <si>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</si>
  <si>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</si>
  <si>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</si>
  <si>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</si>
  <si>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</si>
  <si>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1️. Date &amp; Time Functions (TODAY, NOW, DATEDIF, EOMONTH)</t>
  </si>
  <si>
    <t>TRX0191</t>
  </si>
  <si>
    <t>CUST038</t>
  </si>
  <si>
    <t>Michelle Rogers</t>
  </si>
  <si>
    <t>P002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</si>
  <si>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</si>
  <si>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</si>
  <si>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</si>
  <si>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</si>
  <si>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</si>
  <si>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</si>
  <si>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</si>
  <si>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</si>
  <si>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</si>
  <si>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</si>
  <si>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</si>
  <si>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</si>
  <si>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</si>
  <si>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</si>
  <si>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</si>
  <si>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</si>
  <si>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</si>
  <si>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</si>
  <si>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</si>
  <si>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</si>
  <si>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</si>
  <si>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</si>
  <si>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</si>
  <si>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</si>
  <si>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TRX0071</t>
  </si>
  <si>
    <t>CUST036</t>
  </si>
  <si>
    <t>Nancy Collins</t>
  </si>
  <si>
    <t>2. FILTER Function (Multi-Value Returns)</t>
  </si>
  <si>
    <t>TRX0040</t>
  </si>
  <si>
    <t>TRX0235</t>
  </si>
  <si>
    <t>CUST014</t>
  </si>
  <si>
    <t>Linda Martin</t>
  </si>
  <si>
    <t>P004</t>
  </si>
  <si>
    <t>TRX0004</t>
  </si>
  <si>
    <t>P010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</si>
  <si>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</si>
  <si>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</si>
  <si>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</si>
  <si>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</si>
  <si>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</si>
  <si>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</si>
  <si>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</si>
  <si>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</si>
  <si>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</si>
  <si>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</si>
  <si>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</si>
  <si>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</si>
  <si>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</si>
  <si>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</si>
  <si>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</si>
  <si>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</si>
  <si>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</si>
  <si>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</si>
  <si>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</si>
  <si>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</si>
  <si>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</si>
  <si>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</si>
  <si>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</si>
  <si>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</si>
  <si>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</si>
  <si>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</si>
  <si>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</si>
  <si>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</si>
  <si>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</si>
  <si>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</si>
  <si>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</si>
  <si>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</si>
  <si>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</si>
  <si>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</si>
  <si>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</si>
  <si>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</si>
  <si>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</si>
  <si>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</si>
  <si>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</si>
  <si>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</si>
  <si>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</si>
  <si>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</si>
  <si>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</si>
  <si>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</si>
  <si>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</si>
  <si>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</si>
  <si>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</si>
  <si>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</si>
  <si>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</si>
  <si>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</si>
  <si>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</si>
  <si>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</si>
  <si>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</si>
  <si>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</si>
  <si>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</si>
  <si>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</si>
  <si>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</si>
  <si>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</si>
  <si>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</si>
  <si>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</si>
  <si>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</si>
  <si>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</si>
  <si>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</si>
  <si>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</si>
  <si>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</si>
  <si>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</si>
  <si>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</si>
  <si>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</si>
  <si>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</si>
  <si>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</si>
  <si>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</si>
  <si>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</si>
  <si>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</si>
  <si>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</si>
  <si>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</si>
  <si>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</si>
  <si>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</si>
  <si>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</si>
  <si>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</si>
  <si>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</si>
  <si>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</si>
  <si>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</si>
  <si>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</si>
  <si>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</si>
  <si>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</si>
  <si>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</si>
  <si>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</si>
  <si>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</si>
  <si>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</si>
  <si>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</si>
  <si>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</si>
  <si>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</si>
  <si>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</si>
  <si>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</si>
  <si>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</si>
  <si>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</si>
  <si>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</si>
  <si>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</si>
  <si>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</si>
  <si>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</si>
  <si>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</si>
  <si>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</si>
  <si>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</si>
  <si>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</si>
  <si>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</si>
  <si>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</si>
  <si>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</si>
  <si>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</si>
  <si>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</si>
  <si>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</si>
  <si>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</si>
  <si>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</si>
  <si>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</si>
  <si>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</si>
  <si>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</si>
  <si>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</si>
  <si>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</si>
  <si>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</si>
  <si>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</si>
  <si>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</si>
  <si>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</si>
  <si>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</si>
  <si>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</si>
  <si>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</si>
  <si>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</si>
  <si>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</si>
  <si>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</si>
  <si>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</si>
  <si>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</si>
  <si>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</si>
  <si>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</si>
  <si>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</si>
  <si>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</si>
  <si>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</si>
  <si>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</si>
  <si>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</si>
  <si>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</si>
  <si>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</si>
  <si>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</si>
  <si>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</si>
  <si>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</si>
  <si>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</si>
  <si>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</si>
  <si>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</si>
  <si>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</si>
  <si>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</si>
  <si>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</si>
  <si>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</si>
  <si>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</si>
  <si>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</si>
  <si>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</si>
  <si>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</si>
  <si>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</si>
  <si>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</si>
  <si>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</si>
  <si>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</si>
  <si>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</si>
  <si>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</si>
  <si>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</si>
  <si>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</si>
  <si>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</si>
  <si>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</si>
  <si>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</si>
  <si>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</si>
  <si>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</si>
  <si>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</si>
  <si>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</si>
  <si>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</si>
  <si>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</si>
  <si>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</si>
  <si>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</si>
  <si>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</si>
  <si>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</si>
  <si>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</si>
  <si>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</si>
  <si>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</si>
  <si>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</si>
  <si>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</si>
  <si>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</si>
  <si>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</si>
  <si>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</si>
  <si>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</si>
  <si>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</si>
  <si>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</si>
  <si>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</si>
  <si>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</si>
  <si>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</si>
  <si>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</si>
  <si>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</si>
  <si>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</si>
  <si>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</si>
  <si>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</si>
  <si>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</si>
  <si>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</si>
  <si>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</si>
  <si>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</si>
  <si>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</si>
  <si>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</si>
  <si>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</si>
  <si>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</si>
  <si>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</si>
  <si>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</si>
  <si>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</si>
  <si>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</si>
  <si>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</si>
  <si>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</si>
  <si>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</si>
  <si>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</si>
  <si>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</si>
  <si>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</si>
  <si>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</si>
  <si>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</si>
  <si>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</si>
  <si>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</si>
  <si>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</si>
  <si>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</si>
  <si>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</si>
  <si>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</si>
  <si>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</si>
  <si>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</si>
  <si>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</si>
  <si>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</si>
  <si>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</si>
  <si>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</si>
  <si>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</si>
  <si>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</si>
  <si>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</si>
  <si>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</si>
  <si>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</si>
  <si>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</si>
  <si>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</si>
  <si>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</si>
  <si>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</si>
  <si>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</si>
  <si>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</si>
  <si>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</si>
  <si>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</si>
  <si>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</si>
  <si>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</si>
  <si>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</si>
  <si>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</si>
  <si>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</si>
  <si>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</si>
  <si>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</si>
  <si>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</si>
  <si>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</si>
  <si>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</si>
  <si>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</si>
  <si>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</si>
  <si>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</si>
  <si>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</si>
  <si>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</si>
  <si>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</si>
  <si>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</si>
  <si>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</si>
  <si>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</si>
  <si>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</si>
  <si>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</si>
  <si>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</si>
  <si>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</si>
  <si>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</si>
  <si>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</si>
  <si>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</si>
  <si>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</si>
  <si>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</si>
  <si>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</si>
  <si>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</si>
  <si>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</si>
  <si>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</si>
  <si>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</si>
  <si>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</si>
  <si>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</si>
  <si>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</si>
  <si>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</si>
  <si>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</si>
  <si>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</si>
  <si>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</si>
  <si>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</si>
  <si>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</si>
  <si>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4️. Timestamp using NOW()</t>
  </si>
  <si>
    <t>5️.  WHAT-IF Analysis Not Showing</t>
  </si>
  <si>
    <t>6️.  Linear Regression (Data Analysis Toolpak) Not Showing</t>
  </si>
  <si>
    <t>7️.  Data Analysis &amp; Storytelling (Insights) Not Showing</t>
  </si>
  <si>
    <t>8️.  GroupBy (High-Value Customers using Formulas)</t>
  </si>
  <si>
    <t xml:space="preserve"> KPI Indicators</t>
  </si>
  <si>
    <t>Total Revenue</t>
  </si>
  <si>
    <t>Total Customers</t>
  </si>
  <si>
    <t>Total Transactions</t>
  </si>
  <si>
    <t>Most Frequently Purchased Product</t>
  </si>
  <si>
    <t>Compare Two Lists (Matching Names)</t>
  </si>
  <si>
    <t>Create Abbreviations (TEXT Functions)</t>
  </si>
  <si>
    <t>Product Code (Laptop → LAP)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</si>
</sst>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367526"/>
      <name val="Calibri"/>
    </font>
    <font>
      <sz val="11"/>
      <color rgb="FF38761D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scheme val="minor"/>
    </font>
    <font>
      <sz val="11"/>
      <color theme="1" tint="4.9989318521683403E-2"/>
      <name val="Calibri"/>
      <scheme val="minor"/>
    </font>
    <font>
      <b/>
      <sz val="48"/>
      <color rgb="FF0D0D0D"/>
      <name val="Batang"/>
    </font>
    <font>
      <b/>
      <sz val="11"/>
      <color theme="1" tint="4.9989318521683403E-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164" fontId="0" fillId="0" borderId="0" xfId="0" applyNumberFormat="1" applyFont="1" applyAlignment="1"/>
    <xf numFmtId="0" fontId="9" fillId="0" borderId="0" xfId="0" applyFont="1" applyAlignment="1"/>
    <xf numFmtId="22" fontId="9" fillId="0" borderId="0" xfId="0" applyNumberFormat="1" applyFont="1" applyAlignment="1"/>
    <xf numFmtId="22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3" borderId="0" xfId="0" applyFont="1" applyFill="1" applyAlignment="1"/>
    <xf numFmtId="0" fontId="0" fillId="3" borderId="0" xfId="0" applyNumberFormat="1" applyFont="1" applyFill="1" applyAlignment="1"/>
    <xf numFmtId="0" fontId="0" fillId="4" borderId="0" xfId="0" applyFont="1" applyFill="1" applyAlignment="1"/>
    <xf numFmtId="0" fontId="0" fillId="4" borderId="0" xfId="0" applyNumberFormat="1" applyFont="1" applyFill="1" applyAlignment="1"/>
    <xf numFmtId="0" fontId="0" fillId="5" borderId="0" xfId="0" applyFont="1" applyFill="1" applyAlignment="1"/>
    <xf numFmtId="0" fontId="0" fillId="5" borderId="0" xfId="0" applyNumberFormat="1" applyFont="1" applyFill="1" applyAlignment="1"/>
    <xf numFmtId="0" fontId="10" fillId="0" borderId="0" xfId="0" applyFont="1" applyAlignment="1"/>
    <xf numFmtId="0" fontId="0" fillId="6" borderId="0" xfId="0" applyFont="1" applyFill="1" applyAlignment="1"/>
    <xf numFmtId="0" fontId="11" fillId="6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10" fillId="6" borderId="0" xfId="0" applyFont="1" applyFill="1" applyAlignment="1"/>
    <xf numFmtId="0" fontId="0" fillId="6" borderId="1" xfId="0" applyFont="1" applyFill="1" applyBorder="1" applyAlignment="1"/>
    <xf numFmtId="0" fontId="0" fillId="6" borderId="1" xfId="0" applyNumberFormat="1" applyFont="1" applyFill="1" applyBorder="1" applyAlignment="1"/>
    <xf numFmtId="0" fontId="10" fillId="6" borderId="1" xfId="0" applyFont="1" applyFill="1" applyBorder="1" applyAlignment="1"/>
    <xf numFmtId="0" fontId="10" fillId="6" borderId="1" xfId="0" applyNumberFormat="1" applyFont="1" applyFill="1" applyBorder="1" applyAlignment="1"/>
    <xf numFmtId="0" fontId="12" fillId="6" borderId="1" xfId="0" applyFont="1" applyFill="1" applyBorder="1" applyAlignment="1"/>
    <xf numFmtId="164" fontId="10" fillId="6" borderId="1" xfId="0" applyNumberFormat="1" applyFont="1" applyFill="1" applyBorder="1" applyAlignment="1"/>
  </cellXfs>
  <cellStyles count="1">
    <cellStyle name="Normal" xfId="0" builtinId="0"/>
  </cellStyles>
  <dxfs count="89"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/>
      </font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.xlsx]DashBoard!PivotTable9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DashBoard!$A$4:$A$9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1-46B3-AA91-CBA81E2A8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4924295"/>
        <c:axId val="1159340551"/>
      </c:barChart>
      <c:catAx>
        <c:axId val="1094924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40551"/>
        <c:crosses val="autoZero"/>
        <c:auto val="1"/>
        <c:lblAlgn val="ctr"/>
        <c:lblOffset val="100"/>
        <c:noMultiLvlLbl val="0"/>
      </c:catAx>
      <c:valAx>
        <c:axId val="1159340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242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Lit>
              <c:ptCount val="157"/>
              <c:pt idx="0">
                <c:v>2024-04-11</c:v>
              </c:pt>
              <c:pt idx="1">
                <c:v>2024-04-26</c:v>
              </c:pt>
              <c:pt idx="2">
                <c:v>2024-04-27</c:v>
              </c:pt>
              <c:pt idx="3">
                <c:v>2024-04-28</c:v>
              </c:pt>
              <c:pt idx="4">
                <c:v>2024-04-30</c:v>
              </c:pt>
              <c:pt idx="5">
                <c:v>2024-05-01</c:v>
              </c:pt>
              <c:pt idx="6">
                <c:v>2024-05-03</c:v>
              </c:pt>
              <c:pt idx="7">
                <c:v>2024-05-04</c:v>
              </c:pt>
              <c:pt idx="8">
                <c:v>2024-05-10</c:v>
              </c:pt>
              <c:pt idx="9">
                <c:v>2024-05-12</c:v>
              </c:pt>
              <c:pt idx="10">
                <c:v>2024-05-13</c:v>
              </c:pt>
              <c:pt idx="11">
                <c:v>2024-05-15</c:v>
              </c:pt>
              <c:pt idx="12">
                <c:v>2024-05-16</c:v>
              </c:pt>
              <c:pt idx="13">
                <c:v>2024-05-18</c:v>
              </c:pt>
              <c:pt idx="14">
                <c:v>2024-05-20</c:v>
              </c:pt>
              <c:pt idx="15">
                <c:v>2024-05-22</c:v>
              </c:pt>
              <c:pt idx="16">
                <c:v>2024-05-23</c:v>
              </c:pt>
              <c:pt idx="17">
                <c:v>2024-05-26</c:v>
              </c:pt>
              <c:pt idx="18">
                <c:v>2024-05-28</c:v>
              </c:pt>
              <c:pt idx="19">
                <c:v>2024-05-29</c:v>
              </c:pt>
              <c:pt idx="20">
                <c:v>2024-05-31</c:v>
              </c:pt>
              <c:pt idx="21">
                <c:v>2024-06-01</c:v>
              </c:pt>
              <c:pt idx="22">
                <c:v>2024-06-03</c:v>
              </c:pt>
              <c:pt idx="23">
                <c:v>2024-06-06</c:v>
              </c:pt>
              <c:pt idx="24">
                <c:v>2024-06-07</c:v>
              </c:pt>
              <c:pt idx="25">
                <c:v>2024-06-09</c:v>
              </c:pt>
              <c:pt idx="26">
                <c:v>2024-06-13</c:v>
              </c:pt>
              <c:pt idx="27">
                <c:v>2024-06-16</c:v>
              </c:pt>
              <c:pt idx="28">
                <c:v>2024-06-17</c:v>
              </c:pt>
              <c:pt idx="29">
                <c:v>2024-06-25</c:v>
              </c:pt>
              <c:pt idx="30">
                <c:v>2024-06-26</c:v>
              </c:pt>
              <c:pt idx="31">
                <c:v>2024-06-28</c:v>
              </c:pt>
              <c:pt idx="32">
                <c:v>2024-06-29</c:v>
              </c:pt>
              <c:pt idx="33">
                <c:v>2024-07-01</c:v>
              </c:pt>
              <c:pt idx="34">
                <c:v>2024-07-02</c:v>
              </c:pt>
              <c:pt idx="35">
                <c:v>2024-07-03</c:v>
              </c:pt>
              <c:pt idx="36">
                <c:v>2024-07-08</c:v>
              </c:pt>
              <c:pt idx="37">
                <c:v>2024-07-09</c:v>
              </c:pt>
              <c:pt idx="38">
                <c:v>2024-07-11</c:v>
              </c:pt>
              <c:pt idx="39">
                <c:v>2024-07-14</c:v>
              </c:pt>
              <c:pt idx="40">
                <c:v>2024-07-17</c:v>
              </c:pt>
              <c:pt idx="41">
                <c:v>2024-07-18</c:v>
              </c:pt>
              <c:pt idx="42">
                <c:v>2024-07-23</c:v>
              </c:pt>
              <c:pt idx="43">
                <c:v>2024-07-24</c:v>
              </c:pt>
              <c:pt idx="44">
                <c:v>2024-07-25</c:v>
              </c:pt>
              <c:pt idx="45">
                <c:v>2024-07-27</c:v>
              </c:pt>
              <c:pt idx="46">
                <c:v>2024-07-28</c:v>
              </c:pt>
              <c:pt idx="47">
                <c:v>2024-07-30</c:v>
              </c:pt>
              <c:pt idx="48">
                <c:v>2024-07-31</c:v>
              </c:pt>
              <c:pt idx="49">
                <c:v>2024-08-05</c:v>
              </c:pt>
              <c:pt idx="50">
                <c:v>2024-08-06</c:v>
              </c:pt>
              <c:pt idx="51">
                <c:v>2024-08-09</c:v>
              </c:pt>
              <c:pt idx="52">
                <c:v>2024-08-11</c:v>
              </c:pt>
              <c:pt idx="53">
                <c:v>2024-08-13</c:v>
              </c:pt>
              <c:pt idx="54">
                <c:v>2024-08-15</c:v>
              </c:pt>
              <c:pt idx="55">
                <c:v>2024-08-18</c:v>
              </c:pt>
              <c:pt idx="56">
                <c:v>2024-08-19</c:v>
              </c:pt>
              <c:pt idx="57">
                <c:v>2024-08-22</c:v>
              </c:pt>
              <c:pt idx="58">
                <c:v>2024-08-24</c:v>
              </c:pt>
              <c:pt idx="59">
                <c:v>2024-08-28</c:v>
              </c:pt>
              <c:pt idx="60">
                <c:v>2024-08-30</c:v>
              </c:pt>
              <c:pt idx="61">
                <c:v>2024-09-02</c:v>
              </c:pt>
              <c:pt idx="62">
                <c:v>2024-09-03</c:v>
              </c:pt>
              <c:pt idx="63">
                <c:v>2024-09-06</c:v>
              </c:pt>
              <c:pt idx="64">
                <c:v>2024-09-09</c:v>
              </c:pt>
              <c:pt idx="65">
                <c:v>2024-09-10</c:v>
              </c:pt>
              <c:pt idx="66">
                <c:v>2024-09-12</c:v>
              </c:pt>
              <c:pt idx="67">
                <c:v>2024-09-13</c:v>
              </c:pt>
              <c:pt idx="68">
                <c:v>2024-09-15</c:v>
              </c:pt>
              <c:pt idx="69">
                <c:v>2024-09-16</c:v>
              </c:pt>
              <c:pt idx="70">
                <c:v>2024-09-19</c:v>
              </c:pt>
              <c:pt idx="71">
                <c:v>2024-09-24</c:v>
              </c:pt>
              <c:pt idx="72">
                <c:v>2024-09-25</c:v>
              </c:pt>
              <c:pt idx="73">
                <c:v>2024-09-28</c:v>
              </c:pt>
              <c:pt idx="74">
                <c:v>2024-09-29</c:v>
              </c:pt>
              <c:pt idx="75">
                <c:v>2024-10-01</c:v>
              </c:pt>
              <c:pt idx="76">
                <c:v>2024-10-07</c:v>
              </c:pt>
              <c:pt idx="77">
                <c:v>2024-10-08</c:v>
              </c:pt>
              <c:pt idx="78">
                <c:v>2024-10-11</c:v>
              </c:pt>
              <c:pt idx="79">
                <c:v>2024-10-14</c:v>
              </c:pt>
              <c:pt idx="80">
                <c:v>2024-10-16</c:v>
              </c:pt>
              <c:pt idx="81">
                <c:v>2024-10-18</c:v>
              </c:pt>
              <c:pt idx="82">
                <c:v>2024-10-21</c:v>
              </c:pt>
              <c:pt idx="83">
                <c:v>2024-10-23</c:v>
              </c:pt>
              <c:pt idx="84">
                <c:v>2024-10-24</c:v>
              </c:pt>
              <c:pt idx="85">
                <c:v>2024-10-27</c:v>
              </c:pt>
              <c:pt idx="86">
                <c:v>2024-11-01</c:v>
              </c:pt>
              <c:pt idx="87">
                <c:v>2024-11-04</c:v>
              </c:pt>
              <c:pt idx="88">
                <c:v>2024-11-07</c:v>
              </c:pt>
              <c:pt idx="89">
                <c:v>2024-11-08</c:v>
              </c:pt>
              <c:pt idx="90">
                <c:v>2024-11-09</c:v>
              </c:pt>
              <c:pt idx="91">
                <c:v>2024-11-11</c:v>
              </c:pt>
              <c:pt idx="92">
                <c:v>2024-11-12</c:v>
              </c:pt>
              <c:pt idx="93">
                <c:v>2024-11-17</c:v>
              </c:pt>
              <c:pt idx="94">
                <c:v>2024-11-21</c:v>
              </c:pt>
              <c:pt idx="95">
                <c:v>2024-11-23</c:v>
              </c:pt>
              <c:pt idx="96">
                <c:v>2024-11-26</c:v>
              </c:pt>
              <c:pt idx="97">
                <c:v>2024-11-27</c:v>
              </c:pt>
              <c:pt idx="98">
                <c:v>2024-12-01</c:v>
              </c:pt>
              <c:pt idx="99">
                <c:v>2024-12-03</c:v>
              </c:pt>
              <c:pt idx="100">
                <c:v>2024-12-04</c:v>
              </c:pt>
              <c:pt idx="101">
                <c:v>2024-12-09</c:v>
              </c:pt>
              <c:pt idx="102">
                <c:v>2024-12-10</c:v>
              </c:pt>
              <c:pt idx="103">
                <c:v>2024-12-12</c:v>
              </c:pt>
              <c:pt idx="104">
                <c:v>2024-12-15</c:v>
              </c:pt>
              <c:pt idx="105">
                <c:v>2024-12-18</c:v>
              </c:pt>
              <c:pt idx="106">
                <c:v>2024-12-19</c:v>
              </c:pt>
              <c:pt idx="107">
                <c:v>2024-12-20</c:v>
              </c:pt>
              <c:pt idx="108">
                <c:v>2024-12-22</c:v>
              </c:pt>
              <c:pt idx="109">
                <c:v>2024-12-23</c:v>
              </c:pt>
              <c:pt idx="110">
                <c:v>2024-12-28</c:v>
              </c:pt>
              <c:pt idx="111">
                <c:v>2024-12-29</c:v>
              </c:pt>
              <c:pt idx="112">
                <c:v>2024-12-31</c:v>
              </c:pt>
              <c:pt idx="113">
                <c:v>2025-01-03</c:v>
              </c:pt>
              <c:pt idx="114">
                <c:v>2025-01-04</c:v>
              </c:pt>
              <c:pt idx="115">
                <c:v>2025-01-06</c:v>
              </c:pt>
              <c:pt idx="116">
                <c:v>2025-01-09</c:v>
              </c:pt>
              <c:pt idx="117">
                <c:v>2025-01-10</c:v>
              </c:pt>
              <c:pt idx="118">
                <c:v>2025-01-11</c:v>
              </c:pt>
              <c:pt idx="119">
                <c:v>2025-01-13</c:v>
              </c:pt>
              <c:pt idx="120">
                <c:v>2025-01-14</c:v>
              </c:pt>
              <c:pt idx="121">
                <c:v>2025-01-16</c:v>
              </c:pt>
              <c:pt idx="122">
                <c:v>2025-01-19</c:v>
              </c:pt>
              <c:pt idx="123">
                <c:v>2025-01-25</c:v>
              </c:pt>
              <c:pt idx="124">
                <c:v>2025-01-26</c:v>
              </c:pt>
              <c:pt idx="125">
                <c:v>2025-01-29</c:v>
              </c:pt>
              <c:pt idx="126">
                <c:v>2025-01-31</c:v>
              </c:pt>
              <c:pt idx="127">
                <c:v>2025-02-04</c:v>
              </c:pt>
              <c:pt idx="128">
                <c:v>2025-02-07</c:v>
              </c:pt>
              <c:pt idx="129">
                <c:v>2025-02-08</c:v>
              </c:pt>
              <c:pt idx="130">
                <c:v>2025-02-13</c:v>
              </c:pt>
              <c:pt idx="131">
                <c:v>2025-02-16</c:v>
              </c:pt>
              <c:pt idx="132">
                <c:v>2025-02-17</c:v>
              </c:pt>
              <c:pt idx="133">
                <c:v>2025-02-19</c:v>
              </c:pt>
              <c:pt idx="134">
                <c:v>2025-02-20</c:v>
              </c:pt>
              <c:pt idx="135">
                <c:v>2025-02-22</c:v>
              </c:pt>
              <c:pt idx="136">
                <c:v>2025-02-23</c:v>
              </c:pt>
              <c:pt idx="137">
                <c:v>2025-02-24</c:v>
              </c:pt>
              <c:pt idx="138">
                <c:v>2025-02-27</c:v>
              </c:pt>
              <c:pt idx="139">
                <c:v>2025-03-02</c:v>
              </c:pt>
              <c:pt idx="140">
                <c:v>2025-03-04</c:v>
              </c:pt>
              <c:pt idx="141">
                <c:v>2025-03-05</c:v>
              </c:pt>
              <c:pt idx="142">
                <c:v>2025-03-07</c:v>
              </c:pt>
              <c:pt idx="143">
                <c:v>2025-03-08</c:v>
              </c:pt>
              <c:pt idx="144">
                <c:v>2025-03-10</c:v>
              </c:pt>
              <c:pt idx="145">
                <c:v>2025-03-18</c:v>
              </c:pt>
              <c:pt idx="146">
                <c:v>2025-03-21</c:v>
              </c:pt>
              <c:pt idx="147">
                <c:v>2025-03-23</c:v>
              </c:pt>
              <c:pt idx="148">
                <c:v>2025-03-24</c:v>
              </c:pt>
              <c:pt idx="149">
                <c:v>2025-03-27</c:v>
              </c:pt>
              <c:pt idx="150">
                <c:v>2025-03-29</c:v>
              </c:pt>
              <c:pt idx="151">
                <c:v>2025-03-30</c:v>
              </c:pt>
              <c:pt idx="152">
                <c:v>2025-04-01</c:v>
              </c:pt>
              <c:pt idx="153">
                <c:v>2025-04-02</c:v>
              </c:pt>
              <c:pt idx="154">
                <c:v>2025-04-08</c:v>
              </c:pt>
              <c:pt idx="155">
                <c:v>2025-04-09</c:v>
              </c:pt>
              <c:pt idx="156">
                <c:v>2025-04-11</c:v>
              </c:pt>
            </c:strLit>
          </c:cat>
          <c:val>
            <c:numLit>
              <c:formatCode>General</c:formatCode>
              <c:ptCount val="157"/>
              <c:pt idx="0">
                <c:v>749.97</c:v>
              </c:pt>
              <c:pt idx="1">
                <c:v>1529.88</c:v>
              </c:pt>
              <c:pt idx="2">
                <c:v>3179.9299999999994</c:v>
              </c:pt>
              <c:pt idx="3">
                <c:v>6349.87</c:v>
              </c:pt>
              <c:pt idx="4">
                <c:v>3499.95</c:v>
              </c:pt>
              <c:pt idx="5">
                <c:v>2799.96</c:v>
              </c:pt>
              <c:pt idx="6">
                <c:v>999.96</c:v>
              </c:pt>
              <c:pt idx="7">
                <c:v>1199.96</c:v>
              </c:pt>
              <c:pt idx="8">
                <c:v>1249.95</c:v>
              </c:pt>
              <c:pt idx="9">
                <c:v>2189.87</c:v>
              </c:pt>
              <c:pt idx="10">
                <c:v>119.98</c:v>
              </c:pt>
              <c:pt idx="11">
                <c:v>1239.9100000000001</c:v>
              </c:pt>
              <c:pt idx="12">
                <c:v>299.98</c:v>
              </c:pt>
              <c:pt idx="13">
                <c:v>449.97</c:v>
              </c:pt>
              <c:pt idx="14">
                <c:v>899.99</c:v>
              </c:pt>
              <c:pt idx="15">
                <c:v>899.97</c:v>
              </c:pt>
              <c:pt idx="16">
                <c:v>239.97</c:v>
              </c:pt>
              <c:pt idx="17">
                <c:v>599.97</c:v>
              </c:pt>
              <c:pt idx="18">
                <c:v>3499.95</c:v>
              </c:pt>
              <c:pt idx="19">
                <c:v>269.97000000000003</c:v>
              </c:pt>
              <c:pt idx="20">
                <c:v>79.989999999999995</c:v>
              </c:pt>
              <c:pt idx="21">
                <c:v>209.97</c:v>
              </c:pt>
              <c:pt idx="22">
                <c:v>449.95</c:v>
              </c:pt>
              <c:pt idx="23">
                <c:v>1339.94</c:v>
              </c:pt>
              <c:pt idx="24">
                <c:v>299.98</c:v>
              </c:pt>
              <c:pt idx="25">
                <c:v>239.96</c:v>
              </c:pt>
              <c:pt idx="26">
                <c:v>449.95</c:v>
              </c:pt>
              <c:pt idx="27">
                <c:v>9179.8799999999992</c:v>
              </c:pt>
              <c:pt idx="28">
                <c:v>659.97</c:v>
              </c:pt>
              <c:pt idx="29">
                <c:v>359.96</c:v>
              </c:pt>
              <c:pt idx="30">
                <c:v>259.96999999999997</c:v>
              </c:pt>
              <c:pt idx="31">
                <c:v>5699.93</c:v>
              </c:pt>
              <c:pt idx="32">
                <c:v>149.99</c:v>
              </c:pt>
              <c:pt idx="33">
                <c:v>179.98</c:v>
              </c:pt>
              <c:pt idx="34">
                <c:v>89.99</c:v>
              </c:pt>
              <c:pt idx="35">
                <c:v>489.94</c:v>
              </c:pt>
              <c:pt idx="36">
                <c:v>1999.92</c:v>
              </c:pt>
              <c:pt idx="37">
                <c:v>239.96</c:v>
              </c:pt>
              <c:pt idx="38">
                <c:v>449.98</c:v>
              </c:pt>
              <c:pt idx="39">
                <c:v>399.98</c:v>
              </c:pt>
              <c:pt idx="40">
                <c:v>629.94000000000005</c:v>
              </c:pt>
              <c:pt idx="41">
                <c:v>599.97</c:v>
              </c:pt>
              <c:pt idx="42">
                <c:v>899.99</c:v>
              </c:pt>
              <c:pt idx="43">
                <c:v>4499.95</c:v>
              </c:pt>
              <c:pt idx="44">
                <c:v>1119.94</c:v>
              </c:pt>
              <c:pt idx="45">
                <c:v>799.97</c:v>
              </c:pt>
              <c:pt idx="46">
                <c:v>1079.95</c:v>
              </c:pt>
              <c:pt idx="47">
                <c:v>1399.98</c:v>
              </c:pt>
              <c:pt idx="48">
                <c:v>3599.96</c:v>
              </c:pt>
              <c:pt idx="49">
                <c:v>299.98</c:v>
              </c:pt>
              <c:pt idx="50">
                <c:v>299.98</c:v>
              </c:pt>
              <c:pt idx="51">
                <c:v>89.99</c:v>
              </c:pt>
              <c:pt idx="52">
                <c:v>1499.95</c:v>
              </c:pt>
              <c:pt idx="53">
                <c:v>3399.84</c:v>
              </c:pt>
              <c:pt idx="54">
                <c:v>999.95</c:v>
              </c:pt>
              <c:pt idx="55">
                <c:v>179.98</c:v>
              </c:pt>
              <c:pt idx="56">
                <c:v>4949.92</c:v>
              </c:pt>
              <c:pt idx="57">
                <c:v>749.95</c:v>
              </c:pt>
              <c:pt idx="58">
                <c:v>739.95</c:v>
              </c:pt>
              <c:pt idx="59">
                <c:v>1149.96</c:v>
              </c:pt>
              <c:pt idx="60">
                <c:v>1399.98</c:v>
              </c:pt>
              <c:pt idx="61">
                <c:v>499.98</c:v>
              </c:pt>
              <c:pt idx="62">
                <c:v>1399.98</c:v>
              </c:pt>
              <c:pt idx="63">
                <c:v>179.97</c:v>
              </c:pt>
              <c:pt idx="64">
                <c:v>499.92999999999995</c:v>
              </c:pt>
              <c:pt idx="65">
                <c:v>79.989999999999995</c:v>
              </c:pt>
              <c:pt idx="66">
                <c:v>899.97</c:v>
              </c:pt>
              <c:pt idx="67">
                <c:v>179.98</c:v>
              </c:pt>
              <c:pt idx="68">
                <c:v>599.96</c:v>
              </c:pt>
              <c:pt idx="69">
                <c:v>1299.94</c:v>
              </c:pt>
              <c:pt idx="70">
                <c:v>3399.9</c:v>
              </c:pt>
              <c:pt idx="71">
                <c:v>2699.97</c:v>
              </c:pt>
              <c:pt idx="72">
                <c:v>449.97</c:v>
              </c:pt>
              <c:pt idx="73">
                <c:v>599.98</c:v>
              </c:pt>
              <c:pt idx="74">
                <c:v>199.99</c:v>
              </c:pt>
              <c:pt idx="75">
                <c:v>1199.96</c:v>
              </c:pt>
              <c:pt idx="76">
                <c:v>719.94</c:v>
              </c:pt>
              <c:pt idx="77">
                <c:v>1849.95</c:v>
              </c:pt>
              <c:pt idx="78">
                <c:v>899.97</c:v>
              </c:pt>
              <c:pt idx="79">
                <c:v>2699.97</c:v>
              </c:pt>
              <c:pt idx="80">
                <c:v>7199.9</c:v>
              </c:pt>
              <c:pt idx="81">
                <c:v>299.98</c:v>
              </c:pt>
              <c:pt idx="82">
                <c:v>269.97000000000003</c:v>
              </c:pt>
              <c:pt idx="83">
                <c:v>1699.96</c:v>
              </c:pt>
              <c:pt idx="84">
                <c:v>3499.95</c:v>
              </c:pt>
              <c:pt idx="85">
                <c:v>269.97000000000003</c:v>
              </c:pt>
              <c:pt idx="86">
                <c:v>1249.95</c:v>
              </c:pt>
              <c:pt idx="87">
                <c:v>899.97</c:v>
              </c:pt>
              <c:pt idx="88">
                <c:v>269.97000000000003</c:v>
              </c:pt>
              <c:pt idx="89">
                <c:v>299.98</c:v>
              </c:pt>
              <c:pt idx="90">
                <c:v>249.99</c:v>
              </c:pt>
              <c:pt idx="91">
                <c:v>1749.88</c:v>
              </c:pt>
              <c:pt idx="92">
                <c:v>929.92000000000007</c:v>
              </c:pt>
              <c:pt idx="93">
                <c:v>2149.9300000000003</c:v>
              </c:pt>
              <c:pt idx="94">
                <c:v>799.96</c:v>
              </c:pt>
              <c:pt idx="95">
                <c:v>2159.9599999999996</c:v>
              </c:pt>
              <c:pt idx="96">
                <c:v>1249.95</c:v>
              </c:pt>
              <c:pt idx="97">
                <c:v>299.98</c:v>
              </c:pt>
              <c:pt idx="98">
                <c:v>5949.85</c:v>
              </c:pt>
              <c:pt idx="99">
                <c:v>999.96</c:v>
              </c:pt>
              <c:pt idx="100">
                <c:v>2799.96</c:v>
              </c:pt>
              <c:pt idx="101">
                <c:v>999.91000000000008</c:v>
              </c:pt>
              <c:pt idx="102">
                <c:v>239.97</c:v>
              </c:pt>
              <c:pt idx="103">
                <c:v>1799.98</c:v>
              </c:pt>
              <c:pt idx="104">
                <c:v>749.97</c:v>
              </c:pt>
              <c:pt idx="105">
                <c:v>119.98</c:v>
              </c:pt>
              <c:pt idx="106">
                <c:v>4589.9399999999996</c:v>
              </c:pt>
              <c:pt idx="107">
                <c:v>299.98</c:v>
              </c:pt>
              <c:pt idx="108">
                <c:v>749.95</c:v>
              </c:pt>
              <c:pt idx="109">
                <c:v>599.98</c:v>
              </c:pt>
              <c:pt idx="110">
                <c:v>1399.94</c:v>
              </c:pt>
              <c:pt idx="111">
                <c:v>839.94</c:v>
              </c:pt>
              <c:pt idx="112">
                <c:v>899.99</c:v>
              </c:pt>
              <c:pt idx="113">
                <c:v>179.98</c:v>
              </c:pt>
              <c:pt idx="114">
                <c:v>899.99</c:v>
              </c:pt>
              <c:pt idx="115">
                <c:v>1649.92</c:v>
              </c:pt>
              <c:pt idx="116">
                <c:v>2099.9699999999998</c:v>
              </c:pt>
              <c:pt idx="117">
                <c:v>2249.9</c:v>
              </c:pt>
              <c:pt idx="118">
                <c:v>2699.93</c:v>
              </c:pt>
              <c:pt idx="119">
                <c:v>379.98</c:v>
              </c:pt>
              <c:pt idx="120">
                <c:v>2199.91</c:v>
              </c:pt>
              <c:pt idx="121">
                <c:v>2749.88</c:v>
              </c:pt>
              <c:pt idx="122">
                <c:v>299.95</c:v>
              </c:pt>
              <c:pt idx="123">
                <c:v>239.96</c:v>
              </c:pt>
              <c:pt idx="124">
                <c:v>999.96</c:v>
              </c:pt>
              <c:pt idx="125">
                <c:v>5899.91</c:v>
              </c:pt>
              <c:pt idx="126">
                <c:v>3249.91</c:v>
              </c:pt>
              <c:pt idx="127">
                <c:v>59.99</c:v>
              </c:pt>
              <c:pt idx="128">
                <c:v>1949.92</c:v>
              </c:pt>
              <c:pt idx="129">
                <c:v>299.95</c:v>
              </c:pt>
              <c:pt idx="130">
                <c:v>239.97</c:v>
              </c:pt>
              <c:pt idx="131">
                <c:v>779.95</c:v>
              </c:pt>
              <c:pt idx="132">
                <c:v>299.98</c:v>
              </c:pt>
              <c:pt idx="133">
                <c:v>3949.92</c:v>
              </c:pt>
              <c:pt idx="134">
                <c:v>3299.9399999999996</c:v>
              </c:pt>
              <c:pt idx="135">
                <c:v>2199.94</c:v>
              </c:pt>
              <c:pt idx="136">
                <c:v>1749.9</c:v>
              </c:pt>
              <c:pt idx="137">
                <c:v>399.98</c:v>
              </c:pt>
              <c:pt idx="138">
                <c:v>839.94</c:v>
              </c:pt>
              <c:pt idx="139">
                <c:v>299.98</c:v>
              </c:pt>
              <c:pt idx="140">
                <c:v>3499.95</c:v>
              </c:pt>
              <c:pt idx="141">
                <c:v>299.95</c:v>
              </c:pt>
              <c:pt idx="142">
                <c:v>1429.93</c:v>
              </c:pt>
              <c:pt idx="143">
                <c:v>5399.89</c:v>
              </c:pt>
              <c:pt idx="144">
                <c:v>249.99</c:v>
              </c:pt>
              <c:pt idx="145">
                <c:v>119.98</c:v>
              </c:pt>
              <c:pt idx="146">
                <c:v>5699.92</c:v>
              </c:pt>
              <c:pt idx="147">
                <c:v>899.97</c:v>
              </c:pt>
              <c:pt idx="148">
                <c:v>599.96</c:v>
              </c:pt>
              <c:pt idx="149">
                <c:v>319.95999999999998</c:v>
              </c:pt>
              <c:pt idx="150">
                <c:v>449.95</c:v>
              </c:pt>
              <c:pt idx="151">
                <c:v>629.95000000000005</c:v>
              </c:pt>
              <c:pt idx="152">
                <c:v>1399.98</c:v>
              </c:pt>
              <c:pt idx="153">
                <c:v>2699.97</c:v>
              </c:pt>
              <c:pt idx="154">
                <c:v>239.97</c:v>
              </c:pt>
              <c:pt idx="155">
                <c:v>89.99</c:v>
              </c:pt>
              <c:pt idx="156">
                <c:v>2549.92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22F-45E4-9E86-EC2D53309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077640"/>
        <c:axId val="971073032"/>
      </c:lineChart>
      <c:catAx>
        <c:axId val="843077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73032"/>
        <c:crosses val="autoZero"/>
        <c:auto val="1"/>
        <c:lblAlgn val="ctr"/>
        <c:lblOffset val="100"/>
        <c:noMultiLvlLbl val="0"/>
      </c:catAx>
      <c:valAx>
        <c:axId val="97107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77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11-4379-ADE8-B23725E7729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11-4379-ADE8-B23725E7729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11-4379-ADE8-B23725E772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DashBoard!$A$13:$A$16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0-41B1-A38C-4F15D3139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.xlsx]DashBoard!PivotTable9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DashBoard!$A$4:$A$9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3-479D-AA8C-A5E0B492A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57255"/>
        <c:axId val="576258055"/>
      </c:barChart>
      <c:catAx>
        <c:axId val="2357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58055"/>
        <c:crosses val="autoZero"/>
        <c:auto val="1"/>
        <c:lblAlgn val="ctr"/>
        <c:lblOffset val="100"/>
        <c:noMultiLvlLbl val="0"/>
      </c:catAx>
      <c:valAx>
        <c:axId val="576258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.xlsx]DashBoard!PivotTable2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DashBoard!$A$13:$A$16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7-4FF8-8C57-63385AC0E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.xlsx]DashBoard!PivotTable4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DashBoard!$A$20:$A$182</c:f>
              <c:strCache>
                <c:ptCount val="162"/>
                <c:pt idx="0">
                  <c:v>2024-04-11</c:v>
                </c:pt>
                <c:pt idx="1">
                  <c:v>2024-04-14</c:v>
                </c:pt>
                <c:pt idx="2">
                  <c:v>2024-04-17</c:v>
                </c:pt>
                <c:pt idx="3">
                  <c:v>2024-04-18</c:v>
                </c:pt>
                <c:pt idx="4">
                  <c:v>2024-04-21</c:v>
                </c:pt>
                <c:pt idx="5">
                  <c:v>2024-04-23</c:v>
                </c:pt>
                <c:pt idx="6">
                  <c:v>2024-04-26</c:v>
                </c:pt>
                <c:pt idx="7">
                  <c:v>2024-04-27</c:v>
                </c:pt>
                <c:pt idx="8">
                  <c:v>2024-04-28</c:v>
                </c:pt>
                <c:pt idx="9">
                  <c:v>2024-04-30</c:v>
                </c:pt>
                <c:pt idx="10">
                  <c:v>2024-05-01</c:v>
                </c:pt>
                <c:pt idx="11">
                  <c:v>2024-05-03</c:v>
                </c:pt>
                <c:pt idx="12">
                  <c:v>2024-05-04</c:v>
                </c:pt>
                <c:pt idx="13">
                  <c:v>2024-05-10</c:v>
                </c:pt>
                <c:pt idx="14">
                  <c:v>2024-05-12</c:v>
                </c:pt>
                <c:pt idx="15">
                  <c:v>2024-05-13</c:v>
                </c:pt>
                <c:pt idx="16">
                  <c:v>2024-05-15</c:v>
                </c:pt>
                <c:pt idx="17">
                  <c:v>2024-05-16</c:v>
                </c:pt>
                <c:pt idx="18">
                  <c:v>2024-05-18</c:v>
                </c:pt>
                <c:pt idx="19">
                  <c:v>2024-05-20</c:v>
                </c:pt>
                <c:pt idx="20">
                  <c:v>2024-05-22</c:v>
                </c:pt>
                <c:pt idx="21">
                  <c:v>2024-05-23</c:v>
                </c:pt>
                <c:pt idx="22">
                  <c:v>2024-05-26</c:v>
                </c:pt>
                <c:pt idx="23">
                  <c:v>2024-05-28</c:v>
                </c:pt>
                <c:pt idx="24">
                  <c:v>2024-05-29</c:v>
                </c:pt>
                <c:pt idx="25">
                  <c:v>2024-05-31</c:v>
                </c:pt>
                <c:pt idx="26">
                  <c:v>2024-06-01</c:v>
                </c:pt>
                <c:pt idx="27">
                  <c:v>2024-06-03</c:v>
                </c:pt>
                <c:pt idx="28">
                  <c:v>2024-06-06</c:v>
                </c:pt>
                <c:pt idx="29">
                  <c:v>2024-06-07</c:v>
                </c:pt>
                <c:pt idx="30">
                  <c:v>2024-06-09</c:v>
                </c:pt>
                <c:pt idx="31">
                  <c:v>2024-06-13</c:v>
                </c:pt>
                <c:pt idx="32">
                  <c:v>2024-06-16</c:v>
                </c:pt>
                <c:pt idx="33">
                  <c:v>2024-06-17</c:v>
                </c:pt>
                <c:pt idx="34">
                  <c:v>2024-06-25</c:v>
                </c:pt>
                <c:pt idx="35">
                  <c:v>2024-06-26</c:v>
                </c:pt>
                <c:pt idx="36">
                  <c:v>2024-06-28</c:v>
                </c:pt>
                <c:pt idx="37">
                  <c:v>2024-06-29</c:v>
                </c:pt>
                <c:pt idx="38">
                  <c:v>2024-07-01</c:v>
                </c:pt>
                <c:pt idx="39">
                  <c:v>2024-07-02</c:v>
                </c:pt>
                <c:pt idx="40">
                  <c:v>2024-07-03</c:v>
                </c:pt>
                <c:pt idx="41">
                  <c:v>2024-07-08</c:v>
                </c:pt>
                <c:pt idx="42">
                  <c:v>2024-07-09</c:v>
                </c:pt>
                <c:pt idx="43">
                  <c:v>2024-07-11</c:v>
                </c:pt>
                <c:pt idx="44">
                  <c:v>2024-07-14</c:v>
                </c:pt>
                <c:pt idx="45">
                  <c:v>2024-07-17</c:v>
                </c:pt>
                <c:pt idx="46">
                  <c:v>2024-07-18</c:v>
                </c:pt>
                <c:pt idx="47">
                  <c:v>2024-07-23</c:v>
                </c:pt>
                <c:pt idx="48">
                  <c:v>2024-07-24</c:v>
                </c:pt>
                <c:pt idx="49">
                  <c:v>2024-07-25</c:v>
                </c:pt>
                <c:pt idx="50">
                  <c:v>2024-07-27</c:v>
                </c:pt>
                <c:pt idx="51">
                  <c:v>2024-07-28</c:v>
                </c:pt>
                <c:pt idx="52">
                  <c:v>2024-07-30</c:v>
                </c:pt>
                <c:pt idx="53">
                  <c:v>2024-07-31</c:v>
                </c:pt>
                <c:pt idx="54">
                  <c:v>2024-08-05</c:v>
                </c:pt>
                <c:pt idx="55">
                  <c:v>2024-08-06</c:v>
                </c:pt>
                <c:pt idx="56">
                  <c:v>2024-08-09</c:v>
                </c:pt>
                <c:pt idx="57">
                  <c:v>2024-08-11</c:v>
                </c:pt>
                <c:pt idx="58">
                  <c:v>2024-08-13</c:v>
                </c:pt>
                <c:pt idx="59">
                  <c:v>2024-08-15</c:v>
                </c:pt>
                <c:pt idx="60">
                  <c:v>2024-08-18</c:v>
                </c:pt>
                <c:pt idx="61">
                  <c:v>2024-08-19</c:v>
                </c:pt>
                <c:pt idx="62">
                  <c:v>2024-08-22</c:v>
                </c:pt>
                <c:pt idx="63">
                  <c:v>2024-08-24</c:v>
                </c:pt>
                <c:pt idx="64">
                  <c:v>2024-08-28</c:v>
                </c:pt>
                <c:pt idx="65">
                  <c:v>2024-08-30</c:v>
                </c:pt>
                <c:pt idx="66">
                  <c:v>2024-09-02</c:v>
                </c:pt>
                <c:pt idx="67">
                  <c:v>2024-09-03</c:v>
                </c:pt>
                <c:pt idx="68">
                  <c:v>2024-09-06</c:v>
                </c:pt>
                <c:pt idx="69">
                  <c:v>2024-09-09</c:v>
                </c:pt>
                <c:pt idx="70">
                  <c:v>2024-09-10</c:v>
                </c:pt>
                <c:pt idx="71">
                  <c:v>2024-09-12</c:v>
                </c:pt>
                <c:pt idx="72">
                  <c:v>2024-09-13</c:v>
                </c:pt>
                <c:pt idx="73">
                  <c:v>2024-09-15</c:v>
                </c:pt>
                <c:pt idx="74">
                  <c:v>2024-09-16</c:v>
                </c:pt>
                <c:pt idx="75">
                  <c:v>2024-09-19</c:v>
                </c:pt>
                <c:pt idx="76">
                  <c:v>2024-09-24</c:v>
                </c:pt>
                <c:pt idx="77">
                  <c:v>2024-09-25</c:v>
                </c:pt>
                <c:pt idx="78">
                  <c:v>2024-09-28</c:v>
                </c:pt>
                <c:pt idx="79">
                  <c:v>2024-09-29</c:v>
                </c:pt>
                <c:pt idx="80">
                  <c:v>2024-10-01</c:v>
                </c:pt>
                <c:pt idx="81">
                  <c:v>2024-10-07</c:v>
                </c:pt>
                <c:pt idx="82">
                  <c:v>2024-10-08</c:v>
                </c:pt>
                <c:pt idx="83">
                  <c:v>2024-10-11</c:v>
                </c:pt>
                <c:pt idx="84">
                  <c:v>2024-10-14</c:v>
                </c:pt>
                <c:pt idx="85">
                  <c:v>2024-10-16</c:v>
                </c:pt>
                <c:pt idx="86">
                  <c:v>2024-10-18</c:v>
                </c:pt>
                <c:pt idx="87">
                  <c:v>2024-10-21</c:v>
                </c:pt>
                <c:pt idx="88">
                  <c:v>2024-10-23</c:v>
                </c:pt>
                <c:pt idx="89">
                  <c:v>2024-10-24</c:v>
                </c:pt>
                <c:pt idx="90">
                  <c:v>2024-10-27</c:v>
                </c:pt>
                <c:pt idx="91">
                  <c:v>2024-11-01</c:v>
                </c:pt>
                <c:pt idx="92">
                  <c:v>2024-11-04</c:v>
                </c:pt>
                <c:pt idx="93">
                  <c:v>2024-11-07</c:v>
                </c:pt>
                <c:pt idx="94">
                  <c:v>2024-11-08</c:v>
                </c:pt>
                <c:pt idx="95">
                  <c:v>2024-11-09</c:v>
                </c:pt>
                <c:pt idx="96">
                  <c:v>2024-11-11</c:v>
                </c:pt>
                <c:pt idx="97">
                  <c:v>2024-11-12</c:v>
                </c:pt>
                <c:pt idx="98">
                  <c:v>2024-11-17</c:v>
                </c:pt>
                <c:pt idx="99">
                  <c:v>2024-11-21</c:v>
                </c:pt>
                <c:pt idx="100">
                  <c:v>2024-11-23</c:v>
                </c:pt>
                <c:pt idx="101">
                  <c:v>2024-11-26</c:v>
                </c:pt>
                <c:pt idx="102">
                  <c:v>2024-11-27</c:v>
                </c:pt>
                <c:pt idx="103">
                  <c:v>2024-12-01</c:v>
                </c:pt>
                <c:pt idx="104">
                  <c:v>2024-12-03</c:v>
                </c:pt>
                <c:pt idx="105">
                  <c:v>2024-12-04</c:v>
                </c:pt>
                <c:pt idx="106">
                  <c:v>2024-12-09</c:v>
                </c:pt>
                <c:pt idx="107">
                  <c:v>2024-12-10</c:v>
                </c:pt>
                <c:pt idx="108">
                  <c:v>2024-12-12</c:v>
                </c:pt>
                <c:pt idx="109">
                  <c:v>2024-12-15</c:v>
                </c:pt>
                <c:pt idx="110">
                  <c:v>2024-12-18</c:v>
                </c:pt>
                <c:pt idx="111">
                  <c:v>2024-12-19</c:v>
                </c:pt>
                <c:pt idx="112">
                  <c:v>2024-12-20</c:v>
                </c:pt>
                <c:pt idx="113">
                  <c:v>2024-12-22</c:v>
                </c:pt>
                <c:pt idx="114">
                  <c:v>2024-12-23</c:v>
                </c:pt>
                <c:pt idx="115">
                  <c:v>2024-12-28</c:v>
                </c:pt>
                <c:pt idx="116">
                  <c:v>2024-12-29</c:v>
                </c:pt>
                <c:pt idx="117">
                  <c:v>2024-12-31</c:v>
                </c:pt>
                <c:pt idx="118">
                  <c:v>2025-01-03</c:v>
                </c:pt>
                <c:pt idx="119">
                  <c:v>2025-01-04</c:v>
                </c:pt>
                <c:pt idx="120">
                  <c:v>2025-01-06</c:v>
                </c:pt>
                <c:pt idx="121">
                  <c:v>2025-01-09</c:v>
                </c:pt>
                <c:pt idx="122">
                  <c:v>2025-01-10</c:v>
                </c:pt>
                <c:pt idx="123">
                  <c:v>2025-01-11</c:v>
                </c:pt>
                <c:pt idx="124">
                  <c:v>2025-01-13</c:v>
                </c:pt>
                <c:pt idx="125">
                  <c:v>2025-01-14</c:v>
                </c:pt>
                <c:pt idx="126">
                  <c:v>2025-01-16</c:v>
                </c:pt>
                <c:pt idx="127">
                  <c:v>2025-01-19</c:v>
                </c:pt>
                <c:pt idx="128">
                  <c:v>2025-01-25</c:v>
                </c:pt>
                <c:pt idx="129">
                  <c:v>2025-01-26</c:v>
                </c:pt>
                <c:pt idx="130">
                  <c:v>2025-01-29</c:v>
                </c:pt>
                <c:pt idx="131">
                  <c:v>2025-01-31</c:v>
                </c:pt>
                <c:pt idx="132">
                  <c:v>2025-02-04</c:v>
                </c:pt>
                <c:pt idx="133">
                  <c:v>2025-02-07</c:v>
                </c:pt>
                <c:pt idx="134">
                  <c:v>2025-02-08</c:v>
                </c:pt>
                <c:pt idx="135">
                  <c:v>2025-02-13</c:v>
                </c:pt>
                <c:pt idx="136">
                  <c:v>2025-02-16</c:v>
                </c:pt>
                <c:pt idx="137">
                  <c:v>2025-02-17</c:v>
                </c:pt>
                <c:pt idx="138">
                  <c:v>2025-02-19</c:v>
                </c:pt>
                <c:pt idx="139">
                  <c:v>2025-02-20</c:v>
                </c:pt>
                <c:pt idx="140">
                  <c:v>2025-02-22</c:v>
                </c:pt>
                <c:pt idx="141">
                  <c:v>2025-02-23</c:v>
                </c:pt>
                <c:pt idx="142">
                  <c:v>2025-02-24</c:v>
                </c:pt>
                <c:pt idx="143">
                  <c:v>2025-02-27</c:v>
                </c:pt>
                <c:pt idx="144">
                  <c:v>2025-03-02</c:v>
                </c:pt>
                <c:pt idx="145">
                  <c:v>2025-03-04</c:v>
                </c:pt>
                <c:pt idx="146">
                  <c:v>2025-03-05</c:v>
                </c:pt>
                <c:pt idx="147">
                  <c:v>2025-03-07</c:v>
                </c:pt>
                <c:pt idx="148">
                  <c:v>2025-03-08</c:v>
                </c:pt>
                <c:pt idx="149">
                  <c:v>2025-03-10</c:v>
                </c:pt>
                <c:pt idx="150">
                  <c:v>2025-03-18</c:v>
                </c:pt>
                <c:pt idx="151">
                  <c:v>2025-03-21</c:v>
                </c:pt>
                <c:pt idx="152">
                  <c:v>2025-03-23</c:v>
                </c:pt>
                <c:pt idx="153">
                  <c:v>2025-03-24</c:v>
                </c:pt>
                <c:pt idx="154">
                  <c:v>2025-03-27</c:v>
                </c:pt>
                <c:pt idx="155">
                  <c:v>2025-03-29</c:v>
                </c:pt>
                <c:pt idx="156">
                  <c:v>2025-03-30</c:v>
                </c:pt>
                <c:pt idx="157">
                  <c:v>2025-04-01</c:v>
                </c:pt>
                <c:pt idx="158">
                  <c:v>2025-04-02</c:v>
                </c:pt>
                <c:pt idx="159">
                  <c:v>2025-04-08</c:v>
                </c:pt>
                <c:pt idx="160">
                  <c:v>2025-04-09</c:v>
                </c:pt>
                <c:pt idx="161">
                  <c:v>2025-04-11</c:v>
                </c:pt>
              </c:strCache>
            </c:strRef>
          </c:cat>
          <c:val>
            <c:numRef>
              <c:f>DashBoard!$B$20:$B$182</c:f>
              <c:numCache>
                <c:formatCode>General</c:formatCode>
                <c:ptCount val="162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929.92000000000007</c:v>
                </c:pt>
                <c:pt idx="4">
                  <c:v>1049.9000000000001</c:v>
                </c:pt>
                <c:pt idx="5">
                  <c:v>2699.97</c:v>
                </c:pt>
                <c:pt idx="6">
                  <c:v>1529.88</c:v>
                </c:pt>
                <c:pt idx="7">
                  <c:v>3179.9299999999994</c:v>
                </c:pt>
                <c:pt idx="8">
                  <c:v>6349.87</c:v>
                </c:pt>
                <c:pt idx="9">
                  <c:v>3499.95</c:v>
                </c:pt>
                <c:pt idx="10">
                  <c:v>2799.96</c:v>
                </c:pt>
                <c:pt idx="11">
                  <c:v>999.96</c:v>
                </c:pt>
                <c:pt idx="12">
                  <c:v>1199.96</c:v>
                </c:pt>
                <c:pt idx="13">
                  <c:v>1249.95</c:v>
                </c:pt>
                <c:pt idx="14">
                  <c:v>2189.87</c:v>
                </c:pt>
                <c:pt idx="15">
                  <c:v>119.98</c:v>
                </c:pt>
                <c:pt idx="16">
                  <c:v>1239.9100000000001</c:v>
                </c:pt>
                <c:pt idx="17">
                  <c:v>299.98</c:v>
                </c:pt>
                <c:pt idx="18">
                  <c:v>449.97</c:v>
                </c:pt>
                <c:pt idx="19">
                  <c:v>899.99</c:v>
                </c:pt>
                <c:pt idx="20">
                  <c:v>899.97</c:v>
                </c:pt>
                <c:pt idx="21">
                  <c:v>239.97</c:v>
                </c:pt>
                <c:pt idx="22">
                  <c:v>599.97</c:v>
                </c:pt>
                <c:pt idx="23">
                  <c:v>3499.95</c:v>
                </c:pt>
                <c:pt idx="24">
                  <c:v>269.97000000000003</c:v>
                </c:pt>
                <c:pt idx="25">
                  <c:v>79.989999999999995</c:v>
                </c:pt>
                <c:pt idx="26">
                  <c:v>209.97</c:v>
                </c:pt>
                <c:pt idx="27">
                  <c:v>449.95</c:v>
                </c:pt>
                <c:pt idx="28">
                  <c:v>1339.94</c:v>
                </c:pt>
                <c:pt idx="29">
                  <c:v>299.98</c:v>
                </c:pt>
                <c:pt idx="30">
                  <c:v>239.96</c:v>
                </c:pt>
                <c:pt idx="31">
                  <c:v>449.95</c:v>
                </c:pt>
                <c:pt idx="32">
                  <c:v>9179.8799999999992</c:v>
                </c:pt>
                <c:pt idx="33">
                  <c:v>659.97</c:v>
                </c:pt>
                <c:pt idx="34">
                  <c:v>359.96</c:v>
                </c:pt>
                <c:pt idx="35">
                  <c:v>259.96999999999997</c:v>
                </c:pt>
                <c:pt idx="36">
                  <c:v>5699.93</c:v>
                </c:pt>
                <c:pt idx="37">
                  <c:v>149.99</c:v>
                </c:pt>
                <c:pt idx="38">
                  <c:v>179.98</c:v>
                </c:pt>
                <c:pt idx="39">
                  <c:v>89.99</c:v>
                </c:pt>
                <c:pt idx="40">
                  <c:v>489.94</c:v>
                </c:pt>
                <c:pt idx="41">
                  <c:v>1999.92</c:v>
                </c:pt>
                <c:pt idx="42">
                  <c:v>239.96</c:v>
                </c:pt>
                <c:pt idx="43">
                  <c:v>449.98</c:v>
                </c:pt>
                <c:pt idx="44">
                  <c:v>399.98</c:v>
                </c:pt>
                <c:pt idx="45">
                  <c:v>629.94000000000005</c:v>
                </c:pt>
                <c:pt idx="46">
                  <c:v>599.97</c:v>
                </c:pt>
                <c:pt idx="47">
                  <c:v>899.99</c:v>
                </c:pt>
                <c:pt idx="48">
                  <c:v>4499.95</c:v>
                </c:pt>
                <c:pt idx="49">
                  <c:v>1119.94</c:v>
                </c:pt>
                <c:pt idx="50">
                  <c:v>799.97</c:v>
                </c:pt>
                <c:pt idx="51">
                  <c:v>1079.95</c:v>
                </c:pt>
                <c:pt idx="52">
                  <c:v>1399.98</c:v>
                </c:pt>
                <c:pt idx="53">
                  <c:v>3599.96</c:v>
                </c:pt>
                <c:pt idx="54">
                  <c:v>299.98</c:v>
                </c:pt>
                <c:pt idx="55">
                  <c:v>299.98</c:v>
                </c:pt>
                <c:pt idx="56">
                  <c:v>89.99</c:v>
                </c:pt>
                <c:pt idx="57">
                  <c:v>1499.95</c:v>
                </c:pt>
                <c:pt idx="58">
                  <c:v>3399.84</c:v>
                </c:pt>
                <c:pt idx="59">
                  <c:v>999.95</c:v>
                </c:pt>
                <c:pt idx="60">
                  <c:v>179.98</c:v>
                </c:pt>
                <c:pt idx="61">
                  <c:v>4949.92</c:v>
                </c:pt>
                <c:pt idx="62">
                  <c:v>749.95</c:v>
                </c:pt>
                <c:pt idx="63">
                  <c:v>739.95</c:v>
                </c:pt>
                <c:pt idx="64">
                  <c:v>1149.96</c:v>
                </c:pt>
                <c:pt idx="65">
                  <c:v>1399.98</c:v>
                </c:pt>
                <c:pt idx="66">
                  <c:v>499.98</c:v>
                </c:pt>
                <c:pt idx="67">
                  <c:v>1399.98</c:v>
                </c:pt>
                <c:pt idx="68">
                  <c:v>179.97</c:v>
                </c:pt>
                <c:pt idx="69">
                  <c:v>499.92999999999995</c:v>
                </c:pt>
                <c:pt idx="70">
                  <c:v>79.989999999999995</c:v>
                </c:pt>
                <c:pt idx="71">
                  <c:v>899.97</c:v>
                </c:pt>
                <c:pt idx="72">
                  <c:v>179.98</c:v>
                </c:pt>
                <c:pt idx="73">
                  <c:v>599.96</c:v>
                </c:pt>
                <c:pt idx="74">
                  <c:v>1299.94</c:v>
                </c:pt>
                <c:pt idx="75">
                  <c:v>3399.9</c:v>
                </c:pt>
                <c:pt idx="76">
                  <c:v>2699.97</c:v>
                </c:pt>
                <c:pt idx="77">
                  <c:v>449.97</c:v>
                </c:pt>
                <c:pt idx="78">
                  <c:v>599.98</c:v>
                </c:pt>
                <c:pt idx="79">
                  <c:v>199.99</c:v>
                </c:pt>
                <c:pt idx="80">
                  <c:v>1199.96</c:v>
                </c:pt>
                <c:pt idx="81">
                  <c:v>719.94</c:v>
                </c:pt>
                <c:pt idx="82">
                  <c:v>1849.95</c:v>
                </c:pt>
                <c:pt idx="83">
                  <c:v>899.97</c:v>
                </c:pt>
                <c:pt idx="84">
                  <c:v>2699.97</c:v>
                </c:pt>
                <c:pt idx="85">
                  <c:v>7199.9</c:v>
                </c:pt>
                <c:pt idx="86">
                  <c:v>299.98</c:v>
                </c:pt>
                <c:pt idx="87">
                  <c:v>269.97000000000003</c:v>
                </c:pt>
                <c:pt idx="88">
                  <c:v>1699.96</c:v>
                </c:pt>
                <c:pt idx="89">
                  <c:v>3499.95</c:v>
                </c:pt>
                <c:pt idx="90">
                  <c:v>269.97000000000003</c:v>
                </c:pt>
                <c:pt idx="91">
                  <c:v>1249.95</c:v>
                </c:pt>
                <c:pt idx="92">
                  <c:v>899.97</c:v>
                </c:pt>
                <c:pt idx="93">
                  <c:v>269.97000000000003</c:v>
                </c:pt>
                <c:pt idx="94">
                  <c:v>299.98</c:v>
                </c:pt>
                <c:pt idx="95">
                  <c:v>249.99</c:v>
                </c:pt>
                <c:pt idx="96">
                  <c:v>1749.88</c:v>
                </c:pt>
                <c:pt idx="97">
                  <c:v>929.92000000000007</c:v>
                </c:pt>
                <c:pt idx="98">
                  <c:v>2149.9300000000003</c:v>
                </c:pt>
                <c:pt idx="99">
                  <c:v>799.96</c:v>
                </c:pt>
                <c:pt idx="100">
                  <c:v>2159.9599999999996</c:v>
                </c:pt>
                <c:pt idx="101">
                  <c:v>1249.95</c:v>
                </c:pt>
                <c:pt idx="102">
                  <c:v>299.98</c:v>
                </c:pt>
                <c:pt idx="103">
                  <c:v>5949.85</c:v>
                </c:pt>
                <c:pt idx="104">
                  <c:v>999.96</c:v>
                </c:pt>
                <c:pt idx="105">
                  <c:v>2799.96</c:v>
                </c:pt>
                <c:pt idx="106">
                  <c:v>999.91000000000008</c:v>
                </c:pt>
                <c:pt idx="107">
                  <c:v>239.97</c:v>
                </c:pt>
                <c:pt idx="108">
                  <c:v>1799.98</c:v>
                </c:pt>
                <c:pt idx="109">
                  <c:v>749.97</c:v>
                </c:pt>
                <c:pt idx="110">
                  <c:v>119.98</c:v>
                </c:pt>
                <c:pt idx="111">
                  <c:v>4589.9399999999996</c:v>
                </c:pt>
                <c:pt idx="112">
                  <c:v>299.98</c:v>
                </c:pt>
                <c:pt idx="113">
                  <c:v>749.95</c:v>
                </c:pt>
                <c:pt idx="114">
                  <c:v>599.98</c:v>
                </c:pt>
                <c:pt idx="115">
                  <c:v>1399.94</c:v>
                </c:pt>
                <c:pt idx="116">
                  <c:v>839.94</c:v>
                </c:pt>
                <c:pt idx="117">
                  <c:v>899.99</c:v>
                </c:pt>
                <c:pt idx="118">
                  <c:v>179.98</c:v>
                </c:pt>
                <c:pt idx="119">
                  <c:v>899.99</c:v>
                </c:pt>
                <c:pt idx="120">
                  <c:v>1649.92</c:v>
                </c:pt>
                <c:pt idx="121">
                  <c:v>2099.9699999999998</c:v>
                </c:pt>
                <c:pt idx="122">
                  <c:v>2249.9</c:v>
                </c:pt>
                <c:pt idx="123">
                  <c:v>2699.93</c:v>
                </c:pt>
                <c:pt idx="124">
                  <c:v>379.98</c:v>
                </c:pt>
                <c:pt idx="125">
                  <c:v>2199.91</c:v>
                </c:pt>
                <c:pt idx="126">
                  <c:v>2749.88</c:v>
                </c:pt>
                <c:pt idx="127">
                  <c:v>299.95</c:v>
                </c:pt>
                <c:pt idx="128">
                  <c:v>239.96</c:v>
                </c:pt>
                <c:pt idx="129">
                  <c:v>999.96</c:v>
                </c:pt>
                <c:pt idx="130">
                  <c:v>5899.91</c:v>
                </c:pt>
                <c:pt idx="131">
                  <c:v>3249.91</c:v>
                </c:pt>
                <c:pt idx="132">
                  <c:v>59.99</c:v>
                </c:pt>
                <c:pt idx="133">
                  <c:v>1949.92</c:v>
                </c:pt>
                <c:pt idx="134">
                  <c:v>299.95</c:v>
                </c:pt>
                <c:pt idx="135">
                  <c:v>239.97</c:v>
                </c:pt>
                <c:pt idx="136">
                  <c:v>779.95</c:v>
                </c:pt>
                <c:pt idx="137">
                  <c:v>299.98</c:v>
                </c:pt>
                <c:pt idx="138">
                  <c:v>3949.92</c:v>
                </c:pt>
                <c:pt idx="139">
                  <c:v>3299.9399999999996</c:v>
                </c:pt>
                <c:pt idx="140">
                  <c:v>2199.94</c:v>
                </c:pt>
                <c:pt idx="141">
                  <c:v>1749.9</c:v>
                </c:pt>
                <c:pt idx="142">
                  <c:v>399.98</c:v>
                </c:pt>
                <c:pt idx="143">
                  <c:v>839.94</c:v>
                </c:pt>
                <c:pt idx="144">
                  <c:v>299.98</c:v>
                </c:pt>
                <c:pt idx="145">
                  <c:v>3499.95</c:v>
                </c:pt>
                <c:pt idx="146">
                  <c:v>299.95</c:v>
                </c:pt>
                <c:pt idx="147">
                  <c:v>1429.93</c:v>
                </c:pt>
                <c:pt idx="148">
                  <c:v>5399.89</c:v>
                </c:pt>
                <c:pt idx="149">
                  <c:v>249.99</c:v>
                </c:pt>
                <c:pt idx="150">
                  <c:v>119.98</c:v>
                </c:pt>
                <c:pt idx="151">
                  <c:v>5699.92</c:v>
                </c:pt>
                <c:pt idx="152">
                  <c:v>899.97</c:v>
                </c:pt>
                <c:pt idx="153">
                  <c:v>599.96</c:v>
                </c:pt>
                <c:pt idx="154">
                  <c:v>319.95999999999998</c:v>
                </c:pt>
                <c:pt idx="155">
                  <c:v>449.95</c:v>
                </c:pt>
                <c:pt idx="156">
                  <c:v>629.95000000000005</c:v>
                </c:pt>
                <c:pt idx="157">
                  <c:v>1399.98</c:v>
                </c:pt>
                <c:pt idx="158">
                  <c:v>2699.97</c:v>
                </c:pt>
                <c:pt idx="159">
                  <c:v>239.97</c:v>
                </c:pt>
                <c:pt idx="160">
                  <c:v>89.99</c:v>
                </c:pt>
                <c:pt idx="161">
                  <c:v>2549.92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D-4A8E-B36C-173F91B2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591"/>
        <c:axId val="1797639"/>
      </c:lineChart>
      <c:catAx>
        <c:axId val="1795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639"/>
        <c:crosses val="autoZero"/>
        <c:auto val="1"/>
        <c:lblAlgn val="ctr"/>
        <c:lblOffset val="100"/>
        <c:noMultiLvlLbl val="0"/>
      </c:catAx>
      <c:valAx>
        <c:axId val="1797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.xlsx]Bar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0404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cat>
            <c:strRef>
              <c:f>'Bar Chart'!$A$4:$A$9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'Bar Chart'!$B$4:$B$9</c:f>
              <c:numCache>
                <c:formatCode>General</c:formatCode>
                <c:ptCount val="5"/>
                <c:pt idx="0">
                  <c:v>54</c:v>
                </c:pt>
                <c:pt idx="1">
                  <c:v>48</c:v>
                </c:pt>
                <c:pt idx="2">
                  <c:v>59</c:v>
                </c:pt>
                <c:pt idx="3">
                  <c:v>42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D-48D5-B639-278BB15C7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4274951"/>
        <c:axId val="1104276999"/>
      </c:barChart>
      <c:catAx>
        <c:axId val="1104274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76999"/>
        <c:crosses val="autoZero"/>
        <c:auto val="1"/>
        <c:lblAlgn val="ctr"/>
        <c:lblOffset val="100"/>
        <c:noMultiLvlLbl val="0"/>
      </c:catAx>
      <c:valAx>
        <c:axId val="1104276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74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.xlsx]Line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'Line Chart'!$A$3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'Line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'Line Chart'!$A$4</c:f>
              <c:numCache>
                <c:formatCode>General</c:formatCode>
                <c:ptCount val="1"/>
                <c:pt idx="0">
                  <c:v>74167.500000000015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7-4581-ACFA-754EF6E3C690}"/>
            </c:ext>
          </c:extLst>
        </c:ser>
        <c:ser>
          <c:idx val="1"/>
          <c:order val="1"/>
          <c:tx>
            <c:strRef>
              <c:f>'Line Chart'!$B$3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'Line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'Line Chart'!$B$4</c:f>
              <c:numCache>
                <c:formatCode>General</c:formatCode>
                <c:ptCount val="1"/>
                <c:pt idx="0">
                  <c:v>229192.47000000032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7-4581-ACFA-754EF6E3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816519"/>
        <c:axId val="1475654663"/>
      </c:lineChart>
      <c:catAx>
        <c:axId val="1474816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654663"/>
        <c:crosses val="autoZero"/>
        <c:auto val="1"/>
        <c:lblAlgn val="ctr"/>
        <c:lblOffset val="100"/>
        <c:noMultiLvlLbl val="0"/>
      </c:catAx>
      <c:valAx>
        <c:axId val="147565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16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.xlsx]Pie Chart!PivotTable6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7B-4451-9CB2-DF2676096C7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7B-4451-9CB2-DF2676096C7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7B-4451-9CB2-DF2676096C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3"/>
                <c:pt idx="0">
                  <c:v>43</c:v>
                </c:pt>
                <c:pt idx="1">
                  <c:v>131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4-4856-8A7E-CB952E3FD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 .xlsx]Pie Chart!PivotTable6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3"/>
                <c:pt idx="0">
                  <c:v>43</c:v>
                </c:pt>
                <c:pt idx="1">
                  <c:v>131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8-41EC-87C3-CC348C5E3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</xdr:row>
      <xdr:rowOff>161925</xdr:rowOff>
    </xdr:from>
    <xdr:to>
      <xdr:col>14</xdr:col>
      <xdr:colOff>581025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3D3AC-C539-85FC-B036-0E19A2C02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32</xdr:row>
      <xdr:rowOff>9525</xdr:rowOff>
    </xdr:from>
    <xdr:to>
      <xdr:col>14</xdr:col>
      <xdr:colOff>571500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79F07D-9CD6-2E28-C8FB-D4B64DE624FE}"/>
            </a:ext>
            <a:ext uri="{147F2762-F138-4A5C-976F-8EAC2B608ADB}">
              <a16:predDERef xmlns:a16="http://schemas.microsoft.com/office/drawing/2014/main" pred="{B8B3D3AC-C539-85FC-B036-0E19A2C02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4</xdr:row>
      <xdr:rowOff>180975</xdr:rowOff>
    </xdr:from>
    <xdr:to>
      <xdr:col>26</xdr:col>
      <xdr:colOff>600075</xdr:colOff>
      <xdr:row>28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0C5326-9E0D-1F42-C81B-302845CFEE77}"/>
            </a:ext>
            <a:ext uri="{147F2762-F138-4A5C-976F-8EAC2B608ADB}">
              <a16:predDERef xmlns:a16="http://schemas.microsoft.com/office/drawing/2014/main" pred="{E979F07D-9CD6-2E28-C8FB-D4B64DE62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552450</xdr:colOff>
      <xdr:row>4</xdr:row>
      <xdr:rowOff>142875</xdr:rowOff>
    </xdr:from>
    <xdr:to>
      <xdr:col>15</xdr:col>
      <xdr:colOff>57150</xdr:colOff>
      <xdr:row>29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40ED4D-9754-BCEB-C2A2-9479338CE4F2}"/>
            </a:ext>
            <a:ext uri="{147F2762-F138-4A5C-976F-8EAC2B608ADB}">
              <a16:predDERef xmlns:a16="http://schemas.microsoft.com/office/drawing/2014/main" pred="{C00C5326-9E0D-1F42-C81B-302845CFE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600075</xdr:colOff>
      <xdr:row>4</xdr:row>
      <xdr:rowOff>171450</xdr:rowOff>
    </xdr:from>
    <xdr:to>
      <xdr:col>30</xdr:col>
      <xdr:colOff>247650</xdr:colOff>
      <xdr:row>29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3A3A3E-18BE-B011-35A2-5337A05F783B}"/>
            </a:ext>
            <a:ext uri="{147F2762-F138-4A5C-976F-8EAC2B608ADB}">
              <a16:predDERef xmlns:a16="http://schemas.microsoft.com/office/drawing/2014/main" pred="{1740ED4D-9754-BCEB-C2A2-9479338CE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342900</xdr:colOff>
      <xdr:row>31</xdr:row>
      <xdr:rowOff>180975</xdr:rowOff>
    </xdr:from>
    <xdr:to>
      <xdr:col>25</xdr:col>
      <xdr:colOff>600075</xdr:colOff>
      <xdr:row>75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45E06D-69BA-7F37-A093-8FEE64EAC49F}"/>
            </a:ext>
            <a:ext uri="{147F2762-F138-4A5C-976F-8EAC2B608ADB}">
              <a16:predDERef xmlns:a16="http://schemas.microsoft.com/office/drawing/2014/main" pred="{843A3A3E-18BE-B011-35A2-5337A05F7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3</xdr:row>
      <xdr:rowOff>0</xdr:rowOff>
    </xdr:from>
    <xdr:to>
      <xdr:col>19</xdr:col>
      <xdr:colOff>581025</xdr:colOff>
      <xdr:row>31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BF6D7-ABDF-8921-BE38-0B8EB3819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6</xdr:row>
      <xdr:rowOff>0</xdr:rowOff>
    </xdr:from>
    <xdr:to>
      <xdr:col>16</xdr:col>
      <xdr:colOff>0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2ED1C-FDA1-48CE-8B30-6546C8AD7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600075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AE3AB-4D2B-0C02-BB72-9CBC5EC29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3</xdr:row>
      <xdr:rowOff>0</xdr:rowOff>
    </xdr:from>
    <xdr:to>
      <xdr:col>16</xdr:col>
      <xdr:colOff>95250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D5CF9-3B31-2CA6-A7C0-CB134B18331F}"/>
            </a:ext>
            <a:ext uri="{147F2762-F138-4A5C-976F-8EAC2B608ADB}">
              <a16:predDERef xmlns:a16="http://schemas.microsoft.com/office/drawing/2014/main" pred="{E24AE3AB-4D2B-0C02-BB72-9CBC5EC29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3.57533738426" createdVersion="8" refreshedVersion="8" minRefreshableVersion="3" recordCount="250" xr:uid="{FC5364E3-F29C-48FD-91BC-D07487CABB92}">
  <cacheSource type="worksheet">
    <worksheetSource ref="A1:N251" sheet="Final Project Dataset"/>
  </cacheSource>
  <cacheFields count="14">
    <cacheField name="Transaction_ID" numFmtId="0">
      <sharedItems count="250">
        <s v="TRX0155"/>
        <s v="TRX0023"/>
        <s v="TRX0139"/>
        <s v="TRX0043"/>
        <s v="TRX0212"/>
        <s v="TRX0092"/>
        <s v="TRX0193"/>
        <s v="TRX0240"/>
        <s v="TRX0135"/>
        <s v="TRX0185"/>
        <s v="TRX0138"/>
        <s v="TRX0209"/>
        <s v="TRX0246"/>
        <s v="TRX0067"/>
        <s v="TRX0191"/>
        <s v="TRX0230"/>
        <s v="TRX0049"/>
        <s v="TRX0134"/>
        <s v="TRX0122"/>
        <s v="TRX0222"/>
        <s v="TRX0231"/>
        <s v="TRX0239"/>
        <s v="TRX0204"/>
        <s v="TRX0242"/>
        <s v="TRX0071"/>
        <s v="TRX0040"/>
        <s v="TRX0235"/>
        <s v="TRX0004"/>
        <s v="TRX0063"/>
        <s v="TRX0241"/>
        <s v="TRX0029"/>
        <s v="TRX0194"/>
        <s v="TRX0130"/>
        <s v="TRX0041"/>
        <s v="TRX0232"/>
        <s v="TRX0021"/>
        <s v="TRX0245"/>
        <s v="TRX0015"/>
        <s v="TRX0202"/>
        <s v="TRX0042"/>
        <s v="TRX0128"/>
        <s v="TRX0117"/>
        <s v="TRX0208"/>
        <s v="TRX0234"/>
        <s v="TRX0121"/>
        <s v="TRX0220"/>
        <s v="TRX0093"/>
        <s v="TRX0088"/>
        <s v="TRX0115"/>
        <s v="TRX0154"/>
        <s v="TRX0044"/>
        <s v="TRX0061"/>
        <s v="TRX0150"/>
        <s v="TRX0025"/>
        <s v="TRX0078"/>
        <s v="TRX0007"/>
        <s v="TRX0184"/>
        <s v="TRX0104"/>
        <s v="TRX0127"/>
        <s v="TRX0096"/>
        <s v="TRX0192"/>
        <s v="TRX0052"/>
        <s v="TRX0070"/>
        <s v="TRX0086"/>
        <s v="TRX0113"/>
        <s v="TRX0114"/>
        <s v="TRX0136"/>
        <s v="TRX0018"/>
        <s v="TRX0141"/>
        <s v="TRX0097"/>
        <s v="TRX0169"/>
        <s v="TRX0216"/>
        <s v="TRX0131"/>
        <s v="TRX0162"/>
        <s v="TRX0244"/>
        <s v="TRX0006"/>
        <s v="TRX0215"/>
        <s v="TRX0080"/>
        <s v="TRX0228"/>
        <s v="TRX0157"/>
        <s v="TRX0002"/>
        <s v="TRX0217"/>
        <s v="TRX0249"/>
        <s v="TRX0065"/>
        <s v="TRX0176"/>
        <s v="TRX0101"/>
        <s v="TRX0205"/>
        <s v="TRX0020"/>
        <s v="TRX0075"/>
        <s v="TRX0098"/>
        <s v="TRX0247"/>
        <s v="TRX0027"/>
        <s v="TRX0140"/>
        <s v="TRX0132"/>
        <s v="TRX0031"/>
        <s v="TRX0236"/>
        <s v="TRX0001"/>
        <s v="TRX0037"/>
        <s v="TRX0058"/>
        <s v="TRX0170"/>
        <s v="TRX0248"/>
        <s v="TRX0099"/>
        <s v="TRX0074"/>
        <s v="TRX0225"/>
        <s v="TRX0100"/>
        <s v="TRX0142"/>
        <s v="TRX0112"/>
        <s v="TRX0161"/>
        <s v="TRX0108"/>
        <s v="TRX0211"/>
        <s v="TRX0005"/>
        <s v="TRX0195"/>
        <s v="TRX0054"/>
        <s v="TRX0077"/>
        <s v="TRX0111"/>
        <s v="TRX0123"/>
        <s v="TRX0177"/>
        <s v="TRX0119"/>
        <s v="TRX0181"/>
        <s v="TRX0129"/>
        <s v="TRX0174"/>
        <s v="TRX0146"/>
        <s v="TRX0203"/>
        <s v="TRX0055"/>
        <s v="TRX0218"/>
        <s v="TRX0085"/>
        <s v="TRX0158"/>
        <s v="TRX0173"/>
        <s v="TRX0034"/>
        <s v="TRX0189"/>
        <s v="TRX0190"/>
        <s v="TRX0079"/>
        <s v="TRX0095"/>
        <s v="TRX0009"/>
        <s v="TRX0167"/>
        <s v="TRX0153"/>
        <s v="TRX0057"/>
        <s v="TRX0017"/>
        <s v="TRX0060"/>
        <s v="TRX0109"/>
        <s v="TRX0090"/>
        <s v="TRX0035"/>
        <s v="TRX0172"/>
        <s v="TRX0076"/>
        <s v="TRX0210"/>
        <s v="TRX0149"/>
        <s v="TRX0073"/>
        <s v="TRX0033"/>
        <s v="TRX0160"/>
        <s v="TRX0145"/>
        <s v="TRX0148"/>
        <s v="TRX0012"/>
        <s v="TRX0206"/>
        <s v="TRX0045"/>
        <s v="TRX0094"/>
        <s v="TRX0133"/>
        <s v="TRX0201"/>
        <s v="TRX0137"/>
        <s v="TRX0066"/>
        <s v="TRX0180"/>
        <s v="TRX0082"/>
        <s v="TRX0036"/>
        <s v="TRX0198"/>
        <s v="TRX0032"/>
        <s v="TRX0081"/>
        <s v="TRX0224"/>
        <s v="TRX0028"/>
        <s v="TRX0183"/>
        <s v="TRX0163"/>
        <s v="TRX0046"/>
        <s v="TRX0164"/>
        <s v="TRX0008"/>
        <s v="TRX0171"/>
        <s v="TRX0143"/>
        <s v="TRX0165"/>
        <s v="TRX0156"/>
        <s v="TRX0147"/>
        <s v="TRX0207"/>
        <s v="TRX0056"/>
        <s v="TRX0026"/>
        <s v="TRX0237"/>
        <s v="TRX0091"/>
        <s v="TRX0125"/>
        <s v="TRX0223"/>
        <s v="TRX0243"/>
        <s v="TRX0084"/>
        <s v="TRX0238"/>
        <s v="TRX0102"/>
        <s v="TRX0022"/>
        <s v="TRX0087"/>
        <s v="TRX0107"/>
        <s v="TRX0051"/>
        <s v="TRX0106"/>
        <s v="TRX0059"/>
        <s v="TRX0072"/>
        <s v="TRX0110"/>
        <s v="TRX0126"/>
        <s v="TRX0159"/>
        <s v="TRX0030"/>
        <s v="TRX0178"/>
        <s v="TRX0188"/>
        <s v="TRX0010"/>
        <s v="TRX0069"/>
        <s v="TRX0166"/>
        <s v="TRX0219"/>
        <s v="TRX0024"/>
        <s v="TRX0105"/>
        <s v="TRX0011"/>
        <s v="TRX0187"/>
        <s v="TRX0089"/>
        <s v="TRX0196"/>
        <s v="TRX0118"/>
        <s v="TRX0179"/>
        <s v="TRX0168"/>
        <s v="TRX0214"/>
        <s v="TRX0221"/>
        <s v="TRX0083"/>
        <s v="TRX0151"/>
        <s v="TRX0047"/>
        <s v="TRX0200"/>
        <s v="TRX0062"/>
        <s v="TRX0182"/>
        <s v="TRX0229"/>
        <s v="TRX0048"/>
        <s v="TRX0227"/>
        <s v="TRX0226"/>
        <s v="TRX0053"/>
        <s v="TRX0233"/>
        <s v="TRX0175"/>
        <s v="TRX0186"/>
        <s v="TRX0016"/>
        <s v="TRX0199"/>
        <s v="TRX0038"/>
        <s v="TRX0014"/>
        <s v="TRX0003"/>
        <s v="TRX0124"/>
        <s v="TRX0013"/>
        <s v="TRX0019"/>
        <s v="TRX0050"/>
        <s v="TRX0152"/>
        <s v="TRX0213"/>
        <s v="TRX0197"/>
        <s v="TRX0250"/>
        <s v="TRX0068"/>
        <s v="TRX0144"/>
        <s v="TRX0039"/>
        <s v="TRX0116"/>
        <s v="TRX0120"/>
        <s v="TRX0103"/>
        <s v="TRX0064"/>
      </sharedItems>
    </cacheField>
    <cacheField name="Date" numFmtId="164">
      <sharedItems containsSemiMixedTypes="0" containsNonDate="0" containsDate="1" containsString="0" minDate="2024-04-11T00:00:00" maxDate="2025-04-12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>
      <sharedItems/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/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164">
      <sharedItems containsSemiMixedTypes="0" containsNonDate="0" containsDate="1" containsString="0" minDate="2021-07-18T00:00:00" maxDate="2024-04-12T00:00:00" count="223">
        <d v="2021-08-17T00:00:00"/>
        <d v="2022-01-14T00:00:00"/>
        <d v="2023-12-02T00:00:00"/>
        <d v="2023-07-07T00:00:00"/>
        <d v="2024-01-04T00:00:00"/>
        <d v="2022-07-04T00:00:00"/>
        <d v="2021-08-10T00:00:00"/>
        <d v="2023-03-22T00:00:00"/>
        <d v="2024-01-08T00:00:00"/>
        <d v="2023-10-08T00:00:00"/>
        <d v="2023-06-26T00:00:00"/>
        <d v="2022-09-26T00:00:00"/>
        <d v="2022-09-02T00:00:00"/>
        <d v="2024-02-29T00:00:00"/>
        <d v="2022-01-16T00:00:00"/>
        <d v="2022-12-25T00:00:00"/>
        <d v="2024-03-23T00:00:00"/>
        <d v="2022-08-08T00:00:00"/>
        <d v="2024-02-05T00:00:00"/>
        <d v="2023-10-25T00:00:00"/>
        <d v="2023-08-29T00:00:00"/>
        <d v="2021-08-01T00:00:00"/>
        <d v="2021-09-29T00:00:00"/>
        <d v="2022-06-04T00:00:00"/>
        <d v="2021-11-25T00:00:00"/>
        <d v="2023-08-30T00:00:00"/>
        <d v="2023-03-27T00:00:00"/>
        <d v="2022-12-24T00:00:00"/>
        <d v="2023-10-15T00:00:00"/>
        <d v="2022-11-02T00:00:00"/>
        <d v="2021-08-04T00:00:00"/>
        <d v="2022-09-19T00:00:00"/>
        <d v="2023-05-22T00:00:00"/>
        <d v="2022-01-17T00:00:00"/>
        <d v="2022-09-20T00:00:00"/>
        <d v="2023-04-30T00:00:00"/>
        <d v="2024-01-01T00:00:00"/>
        <d v="2021-07-30T00:00:00"/>
        <d v="2023-07-13T00:00:00"/>
        <d v="2022-12-22T00:00:00"/>
        <d v="2024-04-08T00:00:00"/>
        <d v="2023-08-03T00:00:00"/>
        <d v="2022-01-26T00:00:00"/>
        <d v="2022-05-26T00:00:00"/>
        <d v="2022-01-21T00:00:00"/>
        <d v="2022-03-25T00:00:00"/>
        <d v="2021-08-27T00:00:00"/>
        <d v="2022-01-18T00:00:00"/>
        <d v="2021-10-02T00:00:00"/>
        <d v="2023-02-17T00:00:00"/>
        <d v="2023-12-18T00:00:00"/>
        <d v="2023-09-21T00:00:00"/>
        <d v="2023-11-23T00:00:00"/>
        <d v="2023-12-21T00:00:00"/>
        <d v="2024-03-01T00:00:00"/>
        <d v="2021-08-30T00:00:00"/>
        <d v="2023-06-25T00:00:00"/>
        <d v="2023-03-08T00:00:00"/>
        <d v="2022-10-17T00:00:00"/>
        <d v="2023-12-15T00:00:00"/>
        <d v="2022-08-29T00:00:00"/>
        <d v="2022-02-19T00:00:00"/>
        <d v="2023-02-24T00:00:00"/>
        <d v="2021-08-13T00:00:00"/>
        <d v="2024-04-07T00:00:00"/>
        <d v="2023-08-23T00:00:00"/>
        <d v="2021-11-09T00:00:00"/>
        <d v="2022-12-14T00:00:00"/>
        <d v="2022-11-26T00:00:00"/>
        <d v="2021-12-11T00:00:00"/>
        <d v="2023-07-23T00:00:00"/>
        <d v="2023-09-30T00:00:00"/>
        <d v="2023-11-24T00:00:00"/>
        <d v="2023-09-10T00:00:00"/>
        <d v="2022-12-04T00:00:00"/>
        <d v="2023-08-14T00:00:00"/>
        <d v="2023-07-20T00:00:00"/>
        <d v="2023-08-26T00:00:00"/>
        <d v="2023-02-25T00:00:00"/>
        <d v="2023-02-19T00:00:00"/>
        <d v="2022-06-20T00:00:00"/>
        <d v="2023-03-14T00:00:00"/>
        <d v="2021-11-23T00:00:00"/>
        <d v="2021-12-12T00:00:00"/>
        <d v="2022-04-16T00:00:00"/>
        <d v="2024-04-11T00:00:00"/>
        <d v="2023-02-08T00:00:00"/>
        <d v="2022-09-16T00:00:00"/>
        <d v="2022-08-09T00:00:00"/>
        <d v="2021-09-26T00:00:00"/>
        <d v="2021-09-19T00:00:00"/>
        <d v="2023-03-06T00:00:00"/>
        <d v="2023-02-15T00:00:00"/>
        <d v="2021-11-26T00:00:00"/>
        <d v="2022-01-13T00:00:00"/>
        <d v="2024-01-19T00:00:00"/>
        <d v="2022-08-06T00:00:00"/>
        <d v="2022-01-11T00:00:00"/>
        <d v="2021-10-28T00:00:00"/>
        <d v="2023-10-13T00:00:00"/>
        <d v="2022-05-04T00:00:00"/>
        <d v="2024-02-10T00:00:00"/>
        <d v="2022-11-05T00:00:00"/>
        <d v="2022-06-05T00:00:00"/>
        <d v="2022-07-06T00:00:00"/>
        <d v="2021-11-30T00:00:00"/>
        <d v="2022-05-12T00:00:00"/>
        <d v="2021-10-25T00:00:00"/>
        <d v="2022-03-21T00:00:00"/>
        <d v="2021-09-07T00:00:00"/>
        <d v="2021-10-13T00:00:00"/>
        <d v="2022-02-26T00:00:00"/>
        <d v="2023-08-19T00:00:00"/>
        <d v="2022-11-21T00:00:00"/>
        <d v="2022-01-08T00:00:00"/>
        <d v="2023-01-27T00:00:00"/>
        <d v="2021-09-21T00:00:00"/>
        <d v="2023-05-30T00:00:00"/>
        <d v="2023-12-14T00:00:00"/>
        <d v="2023-01-14T00:00:00"/>
        <d v="2023-09-05T00:00:00"/>
        <d v="2023-10-16T00:00:00"/>
        <d v="2023-03-23T00:00:00"/>
        <d v="2024-04-03T00:00:00"/>
        <d v="2024-03-18T00:00:00"/>
        <d v="2022-12-21T00:00:00"/>
        <d v="2021-12-21T00:00:00"/>
        <d v="2021-10-04T00:00:00"/>
        <d v="2023-03-07T00:00:00"/>
        <d v="2022-03-15T00:00:00"/>
        <d v="2022-02-23T00:00:00"/>
        <d v="2022-11-16T00:00:00"/>
        <d v="2021-11-02T00:00:00"/>
        <d v="2021-08-12T00:00:00"/>
        <d v="2022-10-14T00:00:00"/>
        <d v="2022-09-24T00:00:00"/>
        <d v="2022-07-27T00:00:00"/>
        <d v="2022-05-13T00:00:00"/>
        <d v="2022-04-08T00:00:00"/>
        <d v="2022-12-06T00:00:00"/>
        <d v="2023-11-30T00:00:00"/>
        <d v="2022-11-04T00:00:00"/>
        <d v="2022-07-28T00:00:00"/>
        <d v="2021-08-19T00:00:00"/>
        <d v="2021-12-30T00:00:00"/>
        <d v="2022-01-22T00:00:00"/>
        <d v="2022-11-08T00:00:00"/>
        <d v="2023-06-24T00:00:00"/>
        <d v="2021-10-16T00:00:00"/>
        <d v="2021-10-06T00:00:00"/>
        <d v="2023-01-18T00:00:00"/>
        <d v="2023-06-21T00:00:00"/>
        <d v="2022-05-22T00:00:00"/>
        <d v="2021-07-19T00:00:00"/>
        <d v="2023-05-06T00:00:00"/>
        <d v="2022-12-26T00:00:00"/>
        <d v="2021-07-29T00:00:00"/>
        <d v="2023-10-01T00:00:00"/>
        <d v="2022-06-12T00:00:00"/>
        <d v="2023-09-22T00:00:00"/>
        <d v="2022-07-18T00:00:00"/>
        <d v="2022-03-05T00:00:00"/>
        <d v="2023-11-09T00:00:00"/>
        <d v="2023-12-20T00:00:00"/>
        <d v="2021-11-22T00:00:00"/>
        <d v="2022-06-09T00:00:00"/>
        <d v="2022-07-29T00:00:00"/>
        <d v="2022-01-30T00:00:00"/>
        <d v="2024-02-25T00:00:00"/>
        <d v="2023-05-04T00:00:00"/>
        <d v="2022-01-03T00:00:00"/>
        <d v="2022-07-10T00:00:00"/>
        <d v="2021-08-14T00:00:00"/>
        <d v="2023-06-28T00:00:00"/>
        <d v="2022-03-13T00:00:00"/>
        <d v="2024-02-08T00:00:00"/>
        <d v="2021-12-06T00:00:00"/>
        <d v="2022-02-10T00:00:00"/>
        <d v="2024-01-31T00:00:00"/>
        <d v="2021-08-28T00:00:00"/>
        <d v="2022-12-18T00:00:00"/>
        <d v="2023-10-05T00:00:00"/>
        <d v="2021-12-14T00:00:00"/>
        <d v="2021-08-23T00:00:00"/>
        <d v="2021-07-18T00:00:00"/>
        <d v="2022-03-22T00:00:00"/>
        <d v="2023-10-18T00:00:00"/>
        <d v="2022-06-22T00:00:00"/>
        <d v="2023-01-26T00:00:00"/>
        <d v="2022-04-30T00:00:00"/>
        <d v="2022-05-11T00:00:00"/>
        <d v="2022-08-04T00:00:00"/>
        <d v="2024-01-16T00:00:00"/>
        <d v="2023-04-29T00:00:00"/>
        <d v="2023-02-02T00:00:00"/>
        <d v="2023-09-08T00:00:00"/>
        <d v="2022-06-23T00:00:00"/>
        <d v="2023-11-27T00:00:00"/>
        <d v="2022-06-16T00:00:00"/>
        <d v="2022-02-21T00:00:00"/>
        <d v="2023-08-04T00:00:00"/>
        <d v="2023-01-08T00:00:00"/>
        <d v="2023-08-02T00:00:00"/>
        <d v="2022-01-12T00:00:00"/>
        <d v="2023-05-24T00:00:00"/>
        <d v="2022-01-15T00:00:00"/>
        <d v="2023-12-31T00:00:00"/>
        <d v="2021-12-10T00:00:00"/>
        <d v="2022-03-12T00:00:00"/>
        <d v="2023-12-03T00:00:00"/>
        <d v="2023-07-10T00:00:00"/>
        <d v="2023-09-24T00:00:00"/>
        <d v="2023-11-03T00:00:00"/>
        <d v="2022-11-11T00:00:00"/>
        <d v="2023-02-18T00:00:00"/>
        <d v="2023-11-04T00:00:00"/>
        <d v="2023-12-28T00:00:00"/>
        <d v="2022-05-23T00:00:00"/>
        <d v="2023-09-02T00:00:00"/>
        <d v="2021-11-11T00:00:00"/>
        <d v="2024-02-24T00:00:00"/>
        <d v="2023-06-11T00:00:00"/>
        <d v="2022-11-13T00:00:00"/>
      </sharedItems>
    </cacheField>
    <cacheField name="Total_Amount" numFmtId="0">
      <sharedItems containsSemiMixedTypes="0" containsString="0" containsNumber="1" minValue="59.99" maxValue="4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s v="CUST023"/>
    <x v="0"/>
    <s v="P009"/>
    <x v="0"/>
    <x v="0"/>
    <n v="3"/>
    <n v="249.99"/>
    <x v="0"/>
    <x v="0"/>
    <x v="0"/>
    <x v="0"/>
    <n v="749.97"/>
  </r>
  <r>
    <x v="1"/>
    <x v="1"/>
    <s v="CUST013"/>
    <x v="1"/>
    <s v="P009"/>
    <x v="0"/>
    <x v="0"/>
    <n v="3"/>
    <n v="249.99"/>
    <x v="1"/>
    <x v="0"/>
    <x v="1"/>
    <x v="1"/>
    <n v="749.97"/>
  </r>
  <r>
    <x v="2"/>
    <x v="2"/>
    <s v="CUST021"/>
    <x v="2"/>
    <s v="P005"/>
    <x v="1"/>
    <x v="1"/>
    <n v="3"/>
    <n v="59.99"/>
    <x v="2"/>
    <x v="1"/>
    <x v="2"/>
    <x v="2"/>
    <n v="179.97"/>
  </r>
  <r>
    <x v="3"/>
    <x v="3"/>
    <s v="CUST046"/>
    <x v="3"/>
    <s v="P005"/>
    <x v="1"/>
    <x v="1"/>
    <n v="3"/>
    <n v="59.99"/>
    <x v="0"/>
    <x v="2"/>
    <x v="1"/>
    <x v="3"/>
    <n v="179.97"/>
  </r>
  <r>
    <x v="4"/>
    <x v="3"/>
    <s v="CUST003"/>
    <x v="4"/>
    <s v="P008"/>
    <x v="2"/>
    <x v="2"/>
    <n v="5"/>
    <n v="149.99"/>
    <x v="1"/>
    <x v="2"/>
    <x v="1"/>
    <x v="4"/>
    <n v="749.95"/>
  </r>
  <r>
    <x v="5"/>
    <x v="4"/>
    <s v="CUST024"/>
    <x v="5"/>
    <s v="P005"/>
    <x v="1"/>
    <x v="1"/>
    <n v="2"/>
    <n v="59.99"/>
    <x v="0"/>
    <x v="3"/>
    <x v="2"/>
    <x v="5"/>
    <n v="119.98"/>
  </r>
  <r>
    <x v="6"/>
    <x v="4"/>
    <s v="CUST024"/>
    <x v="5"/>
    <s v="P003"/>
    <x v="3"/>
    <x v="0"/>
    <n v="5"/>
    <n v="149.99"/>
    <x v="1"/>
    <x v="0"/>
    <x v="2"/>
    <x v="6"/>
    <n v="749.95"/>
  </r>
  <r>
    <x v="7"/>
    <x v="4"/>
    <s v="CUST017"/>
    <x v="6"/>
    <s v="P005"/>
    <x v="1"/>
    <x v="1"/>
    <n v="3"/>
    <n v="59.99"/>
    <x v="3"/>
    <x v="1"/>
    <x v="0"/>
    <x v="7"/>
    <n v="179.97"/>
  </r>
  <r>
    <x v="8"/>
    <x v="5"/>
    <s v="CUST009"/>
    <x v="7"/>
    <s v="P001"/>
    <x v="4"/>
    <x v="0"/>
    <n v="3"/>
    <n v="899.99"/>
    <x v="2"/>
    <x v="4"/>
    <x v="2"/>
    <x v="8"/>
    <n v="2699.97"/>
  </r>
  <r>
    <x v="9"/>
    <x v="6"/>
    <s v="CUST026"/>
    <x v="8"/>
    <s v="P005"/>
    <x v="1"/>
    <x v="1"/>
    <n v="3"/>
    <n v="59.99"/>
    <x v="0"/>
    <x v="3"/>
    <x v="1"/>
    <x v="9"/>
    <n v="179.97"/>
  </r>
  <r>
    <x v="10"/>
    <x v="6"/>
    <s v="CUST022"/>
    <x v="9"/>
    <s v="P008"/>
    <x v="2"/>
    <x v="2"/>
    <n v="1"/>
    <n v="149.99"/>
    <x v="1"/>
    <x v="3"/>
    <x v="2"/>
    <x v="10"/>
    <n v="149.99"/>
  </r>
  <r>
    <x v="11"/>
    <x v="6"/>
    <s v="CUST046"/>
    <x v="3"/>
    <s v="P008"/>
    <x v="2"/>
    <x v="2"/>
    <n v="5"/>
    <n v="149.99"/>
    <x v="3"/>
    <x v="2"/>
    <x v="0"/>
    <x v="11"/>
    <n v="749.95"/>
  </r>
  <r>
    <x v="12"/>
    <x v="6"/>
    <s v="CUST041"/>
    <x v="10"/>
    <s v="P008"/>
    <x v="2"/>
    <x v="2"/>
    <n v="3"/>
    <n v="149.99"/>
    <x v="0"/>
    <x v="2"/>
    <x v="1"/>
    <x v="12"/>
    <n v="449.97"/>
  </r>
  <r>
    <x v="13"/>
    <x v="7"/>
    <s v="CUST043"/>
    <x v="11"/>
    <s v="P005"/>
    <x v="1"/>
    <x v="1"/>
    <n v="3"/>
    <n v="59.99"/>
    <x v="1"/>
    <x v="2"/>
    <x v="2"/>
    <x v="13"/>
    <n v="179.97"/>
  </r>
  <r>
    <x v="14"/>
    <x v="7"/>
    <s v="CUST038"/>
    <x v="12"/>
    <s v="P002"/>
    <x v="5"/>
    <x v="0"/>
    <n v="3"/>
    <n v="699.99"/>
    <x v="1"/>
    <x v="3"/>
    <x v="0"/>
    <x v="14"/>
    <n v="2099.9699999999998"/>
  </r>
  <r>
    <x v="15"/>
    <x v="7"/>
    <s v="CUST027"/>
    <x v="13"/>
    <s v="P001"/>
    <x v="4"/>
    <x v="0"/>
    <n v="1"/>
    <n v="899.99"/>
    <x v="3"/>
    <x v="2"/>
    <x v="2"/>
    <x v="15"/>
    <n v="899.99"/>
  </r>
  <r>
    <x v="16"/>
    <x v="8"/>
    <s v="CUST025"/>
    <x v="14"/>
    <s v="P008"/>
    <x v="2"/>
    <x v="2"/>
    <n v="4"/>
    <n v="149.99"/>
    <x v="3"/>
    <x v="2"/>
    <x v="1"/>
    <x v="16"/>
    <n v="599.96"/>
  </r>
  <r>
    <x v="17"/>
    <x v="8"/>
    <s v="CUST010"/>
    <x v="15"/>
    <s v="P002"/>
    <x v="5"/>
    <x v="0"/>
    <n v="2"/>
    <n v="699.99"/>
    <x v="0"/>
    <x v="2"/>
    <x v="0"/>
    <x v="17"/>
    <n v="1399.98"/>
  </r>
  <r>
    <x v="18"/>
    <x v="8"/>
    <s v="CUST025"/>
    <x v="14"/>
    <s v="P001"/>
    <x v="4"/>
    <x v="0"/>
    <n v="4"/>
    <n v="899.99"/>
    <x v="1"/>
    <x v="3"/>
    <x v="2"/>
    <x v="18"/>
    <n v="3599.96"/>
  </r>
  <r>
    <x v="19"/>
    <x v="8"/>
    <s v="CUST048"/>
    <x v="16"/>
    <s v="P009"/>
    <x v="0"/>
    <x v="0"/>
    <n v="3"/>
    <n v="249.99"/>
    <x v="1"/>
    <x v="2"/>
    <x v="1"/>
    <x v="19"/>
    <n v="749.97"/>
  </r>
  <r>
    <x v="20"/>
    <x v="9"/>
    <s v="CUST018"/>
    <x v="17"/>
    <s v="P002"/>
    <x v="5"/>
    <x v="0"/>
    <n v="5"/>
    <n v="699.99"/>
    <x v="0"/>
    <x v="3"/>
    <x v="0"/>
    <x v="20"/>
    <n v="3499.95"/>
  </r>
  <r>
    <x v="21"/>
    <x v="10"/>
    <s v="CUST012"/>
    <x v="18"/>
    <s v="P002"/>
    <x v="5"/>
    <x v="0"/>
    <n v="4"/>
    <n v="699.99"/>
    <x v="0"/>
    <x v="4"/>
    <x v="2"/>
    <x v="21"/>
    <n v="2799.96"/>
  </r>
  <r>
    <x v="22"/>
    <x v="11"/>
    <s v="CUST044"/>
    <x v="19"/>
    <s v="P009"/>
    <x v="0"/>
    <x v="0"/>
    <n v="4"/>
    <n v="249.99"/>
    <x v="2"/>
    <x v="2"/>
    <x v="2"/>
    <x v="22"/>
    <n v="999.96"/>
  </r>
  <r>
    <x v="23"/>
    <x v="12"/>
    <s v="CUST025"/>
    <x v="14"/>
    <s v="P007"/>
    <x v="6"/>
    <x v="2"/>
    <n v="4"/>
    <n v="299.99"/>
    <x v="0"/>
    <x v="3"/>
    <x v="1"/>
    <x v="23"/>
    <n v="1199.96"/>
  </r>
  <r>
    <x v="24"/>
    <x v="13"/>
    <s v="CUST036"/>
    <x v="20"/>
    <s v="P009"/>
    <x v="0"/>
    <x v="0"/>
    <n v="5"/>
    <n v="249.99"/>
    <x v="1"/>
    <x v="3"/>
    <x v="2"/>
    <x v="24"/>
    <n v="1249.95"/>
  </r>
  <r>
    <x v="25"/>
    <x v="14"/>
    <s v="CUST022"/>
    <x v="9"/>
    <s v="P007"/>
    <x v="6"/>
    <x v="2"/>
    <n v="5"/>
    <n v="299.99"/>
    <x v="2"/>
    <x v="4"/>
    <x v="0"/>
    <x v="25"/>
    <n v="1499.95"/>
  </r>
  <r>
    <x v="26"/>
    <x v="14"/>
    <s v="CUST014"/>
    <x v="21"/>
    <s v="P004"/>
    <x v="7"/>
    <x v="1"/>
    <n v="3"/>
    <n v="79.989999999999995"/>
    <x v="2"/>
    <x v="4"/>
    <x v="1"/>
    <x v="26"/>
    <n v="239.97"/>
  </r>
  <r>
    <x v="27"/>
    <x v="14"/>
    <s v="CUST012"/>
    <x v="18"/>
    <s v="P010"/>
    <x v="8"/>
    <x v="0"/>
    <n v="5"/>
    <n v="89.99"/>
    <x v="0"/>
    <x v="2"/>
    <x v="1"/>
    <x v="27"/>
    <n v="449.95"/>
  </r>
  <r>
    <x v="28"/>
    <x v="15"/>
    <s v="CUST030"/>
    <x v="22"/>
    <s v="P005"/>
    <x v="1"/>
    <x v="1"/>
    <n v="2"/>
    <n v="59.99"/>
    <x v="3"/>
    <x v="0"/>
    <x v="2"/>
    <x v="28"/>
    <n v="119.98"/>
  </r>
  <r>
    <x v="29"/>
    <x v="16"/>
    <s v="CUST029"/>
    <x v="23"/>
    <s v="P005"/>
    <x v="1"/>
    <x v="1"/>
    <n v="4"/>
    <n v="59.99"/>
    <x v="3"/>
    <x v="4"/>
    <x v="2"/>
    <x v="29"/>
    <n v="239.96"/>
  </r>
  <r>
    <x v="30"/>
    <x v="16"/>
    <s v="CUST017"/>
    <x v="6"/>
    <s v="P006"/>
    <x v="9"/>
    <x v="2"/>
    <n v="5"/>
    <n v="199.99"/>
    <x v="0"/>
    <x v="1"/>
    <x v="2"/>
    <x v="30"/>
    <n v="999.95"/>
  </r>
  <r>
    <x v="31"/>
    <x v="17"/>
    <s v="CUST006"/>
    <x v="24"/>
    <s v="P008"/>
    <x v="2"/>
    <x v="2"/>
    <n v="2"/>
    <n v="149.99"/>
    <x v="1"/>
    <x v="3"/>
    <x v="0"/>
    <x v="31"/>
    <n v="299.98"/>
  </r>
  <r>
    <x v="32"/>
    <x v="18"/>
    <s v="CUST002"/>
    <x v="25"/>
    <s v="P008"/>
    <x v="2"/>
    <x v="2"/>
    <n v="3"/>
    <n v="149.99"/>
    <x v="1"/>
    <x v="3"/>
    <x v="1"/>
    <x v="32"/>
    <n v="449.97"/>
  </r>
  <r>
    <x v="33"/>
    <x v="19"/>
    <s v="CUST021"/>
    <x v="2"/>
    <s v="P001"/>
    <x v="4"/>
    <x v="0"/>
    <n v="1"/>
    <n v="899.99"/>
    <x v="1"/>
    <x v="3"/>
    <x v="1"/>
    <x v="33"/>
    <n v="899.99"/>
  </r>
  <r>
    <x v="34"/>
    <x v="20"/>
    <s v="CUST012"/>
    <x v="18"/>
    <s v="P007"/>
    <x v="6"/>
    <x v="2"/>
    <n v="3"/>
    <n v="299.99"/>
    <x v="1"/>
    <x v="4"/>
    <x v="0"/>
    <x v="34"/>
    <n v="899.97"/>
  </r>
  <r>
    <x v="35"/>
    <x v="21"/>
    <s v="CUST006"/>
    <x v="24"/>
    <s v="P004"/>
    <x v="7"/>
    <x v="1"/>
    <n v="3"/>
    <n v="79.989999999999995"/>
    <x v="0"/>
    <x v="1"/>
    <x v="0"/>
    <x v="35"/>
    <n v="239.97"/>
  </r>
  <r>
    <x v="36"/>
    <x v="22"/>
    <s v="CUST031"/>
    <x v="26"/>
    <s v="P006"/>
    <x v="9"/>
    <x v="2"/>
    <n v="3"/>
    <n v="199.99"/>
    <x v="1"/>
    <x v="2"/>
    <x v="1"/>
    <x v="36"/>
    <n v="599.97"/>
  </r>
  <r>
    <x v="37"/>
    <x v="23"/>
    <s v="CUST008"/>
    <x v="27"/>
    <s v="P002"/>
    <x v="5"/>
    <x v="0"/>
    <n v="5"/>
    <n v="699.99"/>
    <x v="2"/>
    <x v="3"/>
    <x v="2"/>
    <x v="37"/>
    <n v="3499.95"/>
  </r>
  <r>
    <x v="38"/>
    <x v="24"/>
    <s v="CUST035"/>
    <x v="28"/>
    <s v="P010"/>
    <x v="8"/>
    <x v="0"/>
    <n v="3"/>
    <n v="89.99"/>
    <x v="2"/>
    <x v="0"/>
    <x v="1"/>
    <x v="38"/>
    <n v="269.97000000000003"/>
  </r>
  <r>
    <x v="39"/>
    <x v="25"/>
    <s v="CUST019"/>
    <x v="29"/>
    <s v="P004"/>
    <x v="7"/>
    <x v="1"/>
    <n v="1"/>
    <n v="79.989999999999995"/>
    <x v="0"/>
    <x v="2"/>
    <x v="2"/>
    <x v="39"/>
    <n v="79.989999999999995"/>
  </r>
  <r>
    <x v="40"/>
    <x v="26"/>
    <s v="CUST040"/>
    <x v="30"/>
    <s v="P005"/>
    <x v="1"/>
    <x v="1"/>
    <n v="2"/>
    <n v="59.99"/>
    <x v="0"/>
    <x v="3"/>
    <x v="0"/>
    <x v="40"/>
    <n v="119.98"/>
  </r>
  <r>
    <x v="41"/>
    <x v="26"/>
    <s v="CUST017"/>
    <x v="6"/>
    <s v="P010"/>
    <x v="8"/>
    <x v="0"/>
    <n v="1"/>
    <n v="89.99"/>
    <x v="0"/>
    <x v="2"/>
    <x v="0"/>
    <x v="41"/>
    <n v="89.99"/>
  </r>
  <r>
    <x v="42"/>
    <x v="27"/>
    <s v="CUST004"/>
    <x v="31"/>
    <s v="P010"/>
    <x v="8"/>
    <x v="0"/>
    <n v="5"/>
    <n v="89.99"/>
    <x v="1"/>
    <x v="4"/>
    <x v="2"/>
    <x v="42"/>
    <n v="449.95"/>
  </r>
  <r>
    <x v="43"/>
    <x v="28"/>
    <s v="CUST013"/>
    <x v="1"/>
    <s v="P009"/>
    <x v="0"/>
    <x v="0"/>
    <n v="5"/>
    <n v="249.99"/>
    <x v="1"/>
    <x v="4"/>
    <x v="2"/>
    <x v="43"/>
    <n v="1249.95"/>
  </r>
  <r>
    <x v="44"/>
    <x v="28"/>
    <s v="CUST028"/>
    <x v="32"/>
    <s v="P010"/>
    <x v="8"/>
    <x v="0"/>
    <n v="1"/>
    <n v="89.99"/>
    <x v="1"/>
    <x v="1"/>
    <x v="2"/>
    <x v="44"/>
    <n v="89.99"/>
  </r>
  <r>
    <x v="45"/>
    <x v="29"/>
    <s v="CUST003"/>
    <x v="4"/>
    <s v="P008"/>
    <x v="2"/>
    <x v="2"/>
    <n v="2"/>
    <n v="149.99"/>
    <x v="0"/>
    <x v="4"/>
    <x v="1"/>
    <x v="45"/>
    <n v="299.98"/>
  </r>
  <r>
    <x v="46"/>
    <x v="30"/>
    <s v="CUST050"/>
    <x v="33"/>
    <s v="P005"/>
    <x v="1"/>
    <x v="1"/>
    <n v="4"/>
    <n v="59.99"/>
    <x v="0"/>
    <x v="4"/>
    <x v="2"/>
    <x v="46"/>
    <n v="239.96"/>
  </r>
  <r>
    <x v="47"/>
    <x v="31"/>
    <s v="CUST006"/>
    <x v="24"/>
    <s v="P010"/>
    <x v="8"/>
    <x v="0"/>
    <n v="5"/>
    <n v="89.99"/>
    <x v="0"/>
    <x v="0"/>
    <x v="1"/>
    <x v="47"/>
    <n v="449.95"/>
  </r>
  <r>
    <x v="48"/>
    <x v="32"/>
    <s v="CUST012"/>
    <x v="18"/>
    <s v="P010"/>
    <x v="8"/>
    <x v="0"/>
    <n v="2"/>
    <n v="89.99"/>
    <x v="1"/>
    <x v="1"/>
    <x v="1"/>
    <x v="48"/>
    <n v="179.98"/>
  </r>
  <r>
    <x v="49"/>
    <x v="32"/>
    <s v="CUST023"/>
    <x v="0"/>
    <s v="P001"/>
    <x v="4"/>
    <x v="0"/>
    <n v="5"/>
    <n v="899.99"/>
    <x v="1"/>
    <x v="1"/>
    <x v="2"/>
    <x v="49"/>
    <n v="4499.95"/>
  </r>
  <r>
    <x v="50"/>
    <x v="32"/>
    <s v="CUST029"/>
    <x v="23"/>
    <s v="P001"/>
    <x v="4"/>
    <x v="0"/>
    <n v="5"/>
    <n v="899.99"/>
    <x v="2"/>
    <x v="4"/>
    <x v="1"/>
    <x v="50"/>
    <n v="4499.95"/>
  </r>
  <r>
    <x v="51"/>
    <x v="33"/>
    <s v="CUST028"/>
    <x v="32"/>
    <s v="P005"/>
    <x v="1"/>
    <x v="1"/>
    <n v="1"/>
    <n v="59.99"/>
    <x v="3"/>
    <x v="3"/>
    <x v="1"/>
    <x v="51"/>
    <n v="59.99"/>
  </r>
  <r>
    <x v="52"/>
    <x v="33"/>
    <s v="CUST008"/>
    <x v="27"/>
    <s v="P007"/>
    <x v="6"/>
    <x v="2"/>
    <n v="2"/>
    <n v="299.99"/>
    <x v="3"/>
    <x v="4"/>
    <x v="2"/>
    <x v="52"/>
    <n v="599.98"/>
  </r>
  <r>
    <x v="53"/>
    <x v="34"/>
    <s v="CUST049"/>
    <x v="34"/>
    <s v="P010"/>
    <x v="8"/>
    <x v="0"/>
    <n v="4"/>
    <n v="89.99"/>
    <x v="3"/>
    <x v="1"/>
    <x v="0"/>
    <x v="53"/>
    <n v="359.96"/>
  </r>
  <r>
    <x v="54"/>
    <x v="35"/>
    <s v="CUST021"/>
    <x v="2"/>
    <s v="P004"/>
    <x v="7"/>
    <x v="1"/>
    <n v="1"/>
    <n v="79.989999999999995"/>
    <x v="2"/>
    <x v="0"/>
    <x v="1"/>
    <x v="54"/>
    <n v="79.989999999999995"/>
  </r>
  <r>
    <x v="55"/>
    <x v="35"/>
    <s v="CUST009"/>
    <x v="7"/>
    <s v="P010"/>
    <x v="8"/>
    <x v="0"/>
    <n v="2"/>
    <n v="89.99"/>
    <x v="0"/>
    <x v="3"/>
    <x v="0"/>
    <x v="55"/>
    <n v="179.98"/>
  </r>
  <r>
    <x v="56"/>
    <x v="36"/>
    <s v="CUST046"/>
    <x v="3"/>
    <s v="P002"/>
    <x v="5"/>
    <x v="0"/>
    <n v="3"/>
    <n v="699.99"/>
    <x v="1"/>
    <x v="4"/>
    <x v="1"/>
    <x v="56"/>
    <n v="2099.9699999999998"/>
  </r>
  <r>
    <x v="57"/>
    <x v="36"/>
    <s v="CUST012"/>
    <x v="18"/>
    <s v="P001"/>
    <x v="4"/>
    <x v="0"/>
    <n v="4"/>
    <n v="899.99"/>
    <x v="1"/>
    <x v="4"/>
    <x v="1"/>
    <x v="57"/>
    <n v="3599.96"/>
  </r>
  <r>
    <x v="58"/>
    <x v="37"/>
    <s v="CUST030"/>
    <x v="22"/>
    <s v="P008"/>
    <x v="2"/>
    <x v="2"/>
    <n v="1"/>
    <n v="149.99"/>
    <x v="2"/>
    <x v="4"/>
    <x v="0"/>
    <x v="58"/>
    <n v="149.99"/>
  </r>
  <r>
    <x v="59"/>
    <x v="38"/>
    <s v="CUST002"/>
    <x v="25"/>
    <s v="P010"/>
    <x v="8"/>
    <x v="0"/>
    <n v="2"/>
    <n v="89.99"/>
    <x v="2"/>
    <x v="0"/>
    <x v="1"/>
    <x v="59"/>
    <n v="179.98"/>
  </r>
  <r>
    <x v="60"/>
    <x v="39"/>
    <s v="CUST017"/>
    <x v="6"/>
    <s v="P010"/>
    <x v="8"/>
    <x v="0"/>
    <n v="1"/>
    <n v="89.99"/>
    <x v="2"/>
    <x v="3"/>
    <x v="2"/>
    <x v="60"/>
    <n v="89.99"/>
  </r>
  <r>
    <x v="61"/>
    <x v="40"/>
    <s v="CUST022"/>
    <x v="9"/>
    <s v="P010"/>
    <x v="8"/>
    <x v="0"/>
    <n v="1"/>
    <n v="89.99"/>
    <x v="0"/>
    <x v="1"/>
    <x v="2"/>
    <x v="61"/>
    <n v="89.99"/>
  </r>
  <r>
    <x v="62"/>
    <x v="40"/>
    <s v="CUST007"/>
    <x v="35"/>
    <s v="P004"/>
    <x v="7"/>
    <x v="1"/>
    <n v="5"/>
    <n v="79.989999999999995"/>
    <x v="3"/>
    <x v="0"/>
    <x v="0"/>
    <x v="62"/>
    <n v="399.95"/>
  </r>
  <r>
    <x v="63"/>
    <x v="41"/>
    <s v="CUST020"/>
    <x v="36"/>
    <s v="P008"/>
    <x v="2"/>
    <x v="2"/>
    <n v="1"/>
    <n v="149.99"/>
    <x v="2"/>
    <x v="2"/>
    <x v="0"/>
    <x v="63"/>
    <n v="149.99"/>
  </r>
  <r>
    <x v="64"/>
    <x v="41"/>
    <s v="CUST003"/>
    <x v="4"/>
    <s v="P002"/>
    <x v="5"/>
    <x v="0"/>
    <n v="2"/>
    <n v="699.99"/>
    <x v="2"/>
    <x v="4"/>
    <x v="1"/>
    <x v="64"/>
    <n v="1399.98"/>
  </r>
  <r>
    <x v="65"/>
    <x v="41"/>
    <s v="CUST018"/>
    <x v="17"/>
    <s v="P010"/>
    <x v="8"/>
    <x v="0"/>
    <n v="5"/>
    <n v="89.99"/>
    <x v="3"/>
    <x v="2"/>
    <x v="1"/>
    <x v="65"/>
    <n v="449.95"/>
  </r>
  <r>
    <x v="66"/>
    <x v="42"/>
    <s v="CUST049"/>
    <x v="34"/>
    <s v="P005"/>
    <x v="1"/>
    <x v="1"/>
    <n v="4"/>
    <n v="59.99"/>
    <x v="0"/>
    <x v="1"/>
    <x v="2"/>
    <x v="66"/>
    <n v="239.96"/>
  </r>
  <r>
    <x v="67"/>
    <x v="43"/>
    <s v="CUST013"/>
    <x v="1"/>
    <s v="P003"/>
    <x v="3"/>
    <x v="0"/>
    <n v="1"/>
    <n v="149.99"/>
    <x v="0"/>
    <x v="0"/>
    <x v="2"/>
    <x v="67"/>
    <n v="149.99"/>
  </r>
  <r>
    <x v="68"/>
    <x v="43"/>
    <s v="CUST033"/>
    <x v="37"/>
    <s v="P007"/>
    <x v="6"/>
    <x v="2"/>
    <n v="1"/>
    <n v="299.99"/>
    <x v="1"/>
    <x v="2"/>
    <x v="1"/>
    <x v="68"/>
    <n v="299.99"/>
  </r>
  <r>
    <x v="69"/>
    <x v="44"/>
    <s v="CUST033"/>
    <x v="37"/>
    <s v="P006"/>
    <x v="9"/>
    <x v="2"/>
    <n v="2"/>
    <n v="199.99"/>
    <x v="0"/>
    <x v="2"/>
    <x v="0"/>
    <x v="69"/>
    <n v="399.98"/>
  </r>
  <r>
    <x v="70"/>
    <x v="45"/>
    <s v="CUST047"/>
    <x v="38"/>
    <s v="P005"/>
    <x v="1"/>
    <x v="1"/>
    <n v="3"/>
    <n v="59.99"/>
    <x v="1"/>
    <x v="3"/>
    <x v="0"/>
    <x v="70"/>
    <n v="179.97"/>
  </r>
  <r>
    <x v="71"/>
    <x v="45"/>
    <s v="CUST041"/>
    <x v="10"/>
    <s v="P008"/>
    <x v="2"/>
    <x v="2"/>
    <n v="3"/>
    <n v="149.99"/>
    <x v="0"/>
    <x v="0"/>
    <x v="1"/>
    <x v="71"/>
    <n v="449.97"/>
  </r>
  <r>
    <x v="72"/>
    <x v="46"/>
    <s v="CUST026"/>
    <x v="8"/>
    <s v="P006"/>
    <x v="9"/>
    <x v="2"/>
    <n v="3"/>
    <n v="199.99"/>
    <x v="0"/>
    <x v="2"/>
    <x v="1"/>
    <x v="72"/>
    <n v="599.97"/>
  </r>
  <r>
    <x v="73"/>
    <x v="47"/>
    <s v="CUST040"/>
    <x v="30"/>
    <s v="P001"/>
    <x v="4"/>
    <x v="0"/>
    <n v="1"/>
    <n v="899.99"/>
    <x v="0"/>
    <x v="0"/>
    <x v="2"/>
    <x v="73"/>
    <n v="899.99"/>
  </r>
  <r>
    <x v="74"/>
    <x v="48"/>
    <s v="CUST013"/>
    <x v="1"/>
    <s v="P001"/>
    <x v="4"/>
    <x v="0"/>
    <n v="5"/>
    <n v="899.99"/>
    <x v="3"/>
    <x v="1"/>
    <x v="2"/>
    <x v="74"/>
    <n v="4499.95"/>
  </r>
  <r>
    <x v="75"/>
    <x v="49"/>
    <s v="CUST007"/>
    <x v="35"/>
    <s v="P005"/>
    <x v="1"/>
    <x v="1"/>
    <n v="2"/>
    <n v="59.99"/>
    <x v="0"/>
    <x v="2"/>
    <x v="2"/>
    <x v="75"/>
    <n v="119.98"/>
  </r>
  <r>
    <x v="76"/>
    <x v="49"/>
    <s v="CUST047"/>
    <x v="38"/>
    <s v="P009"/>
    <x v="0"/>
    <x v="0"/>
    <n v="4"/>
    <n v="249.99"/>
    <x v="3"/>
    <x v="0"/>
    <x v="2"/>
    <x v="76"/>
    <n v="999.96"/>
  </r>
  <r>
    <x v="77"/>
    <x v="50"/>
    <s v="CUST018"/>
    <x v="17"/>
    <s v="P009"/>
    <x v="0"/>
    <x v="0"/>
    <n v="2"/>
    <n v="249.99"/>
    <x v="0"/>
    <x v="2"/>
    <x v="1"/>
    <x v="77"/>
    <n v="499.98"/>
  </r>
  <r>
    <x v="78"/>
    <x v="50"/>
    <s v="CUST019"/>
    <x v="29"/>
    <s v="P007"/>
    <x v="6"/>
    <x v="2"/>
    <n v="1"/>
    <n v="299.99"/>
    <x v="0"/>
    <x v="1"/>
    <x v="0"/>
    <x v="78"/>
    <n v="299.99"/>
  </r>
  <r>
    <x v="79"/>
    <x v="51"/>
    <s v="CUST025"/>
    <x v="14"/>
    <s v="P010"/>
    <x v="8"/>
    <x v="0"/>
    <n v="2"/>
    <n v="89.99"/>
    <x v="2"/>
    <x v="1"/>
    <x v="0"/>
    <x v="79"/>
    <n v="179.98"/>
  </r>
  <r>
    <x v="80"/>
    <x v="51"/>
    <s v="CUST019"/>
    <x v="29"/>
    <s v="P007"/>
    <x v="6"/>
    <x v="2"/>
    <n v="3"/>
    <n v="299.99"/>
    <x v="0"/>
    <x v="0"/>
    <x v="0"/>
    <x v="80"/>
    <n v="899.97"/>
  </r>
  <r>
    <x v="81"/>
    <x v="52"/>
    <s v="CUST025"/>
    <x v="14"/>
    <s v="P002"/>
    <x v="5"/>
    <x v="0"/>
    <n v="2"/>
    <n v="699.99"/>
    <x v="1"/>
    <x v="2"/>
    <x v="1"/>
    <x v="81"/>
    <n v="1399.98"/>
  </r>
  <r>
    <x v="82"/>
    <x v="53"/>
    <s v="CUST030"/>
    <x v="22"/>
    <s v="P001"/>
    <x v="4"/>
    <x v="0"/>
    <n v="4"/>
    <n v="899.99"/>
    <x v="3"/>
    <x v="1"/>
    <x v="2"/>
    <x v="82"/>
    <n v="3599.96"/>
  </r>
  <r>
    <x v="83"/>
    <x v="54"/>
    <s v="CUST016"/>
    <x v="39"/>
    <s v="P008"/>
    <x v="2"/>
    <x v="2"/>
    <n v="2"/>
    <n v="149.99"/>
    <x v="1"/>
    <x v="3"/>
    <x v="0"/>
    <x v="83"/>
    <n v="299.98"/>
  </r>
  <r>
    <x v="84"/>
    <x v="55"/>
    <s v="CUST044"/>
    <x v="19"/>
    <s v="P008"/>
    <x v="2"/>
    <x v="2"/>
    <n v="2"/>
    <n v="149.99"/>
    <x v="3"/>
    <x v="4"/>
    <x v="2"/>
    <x v="84"/>
    <n v="299.98"/>
  </r>
  <r>
    <x v="85"/>
    <x v="56"/>
    <s v="CUST010"/>
    <x v="15"/>
    <s v="P010"/>
    <x v="8"/>
    <x v="0"/>
    <n v="1"/>
    <n v="89.99"/>
    <x v="1"/>
    <x v="2"/>
    <x v="2"/>
    <x v="85"/>
    <n v="89.99"/>
  </r>
  <r>
    <x v="86"/>
    <x v="57"/>
    <s v="CUST025"/>
    <x v="14"/>
    <s v="P007"/>
    <x v="6"/>
    <x v="2"/>
    <n v="5"/>
    <n v="299.99"/>
    <x v="1"/>
    <x v="2"/>
    <x v="0"/>
    <x v="86"/>
    <n v="1499.95"/>
  </r>
  <r>
    <x v="87"/>
    <x v="58"/>
    <s v="CUST007"/>
    <x v="35"/>
    <s v="P003"/>
    <x v="3"/>
    <x v="0"/>
    <n v="4"/>
    <n v="149.99"/>
    <x v="3"/>
    <x v="1"/>
    <x v="1"/>
    <x v="87"/>
    <n v="599.96"/>
  </r>
  <r>
    <x v="88"/>
    <x v="58"/>
    <s v="CUST020"/>
    <x v="36"/>
    <s v="P009"/>
    <x v="0"/>
    <x v="0"/>
    <n v="5"/>
    <n v="249.99"/>
    <x v="2"/>
    <x v="4"/>
    <x v="1"/>
    <x v="88"/>
    <n v="1249.95"/>
  </r>
  <r>
    <x v="89"/>
    <x v="58"/>
    <s v="CUST026"/>
    <x v="8"/>
    <s v="P009"/>
    <x v="0"/>
    <x v="0"/>
    <n v="3"/>
    <n v="249.99"/>
    <x v="2"/>
    <x v="2"/>
    <x v="1"/>
    <x v="89"/>
    <n v="749.97"/>
  </r>
  <r>
    <x v="90"/>
    <x v="58"/>
    <s v="CUST046"/>
    <x v="3"/>
    <s v="P006"/>
    <x v="9"/>
    <x v="2"/>
    <n v="4"/>
    <n v="199.99"/>
    <x v="0"/>
    <x v="2"/>
    <x v="2"/>
    <x v="90"/>
    <n v="799.96"/>
  </r>
  <r>
    <x v="91"/>
    <x v="59"/>
    <s v="CUST028"/>
    <x v="32"/>
    <s v="P006"/>
    <x v="9"/>
    <x v="2"/>
    <n v="5"/>
    <n v="199.99"/>
    <x v="0"/>
    <x v="2"/>
    <x v="1"/>
    <x v="91"/>
    <n v="999.95"/>
  </r>
  <r>
    <x v="92"/>
    <x v="60"/>
    <s v="CUST025"/>
    <x v="14"/>
    <s v="P010"/>
    <x v="8"/>
    <x v="0"/>
    <n v="2"/>
    <n v="89.99"/>
    <x v="0"/>
    <x v="4"/>
    <x v="1"/>
    <x v="92"/>
    <n v="179.98"/>
  </r>
  <r>
    <x v="93"/>
    <x v="61"/>
    <s v="CUST047"/>
    <x v="38"/>
    <s v="P001"/>
    <x v="4"/>
    <x v="0"/>
    <n v="5"/>
    <n v="899.99"/>
    <x v="3"/>
    <x v="4"/>
    <x v="0"/>
    <x v="93"/>
    <n v="4499.95"/>
  </r>
  <r>
    <x v="94"/>
    <x v="61"/>
    <s v="CUST036"/>
    <x v="20"/>
    <s v="P003"/>
    <x v="3"/>
    <x v="0"/>
    <n v="3"/>
    <n v="149.99"/>
    <x v="2"/>
    <x v="4"/>
    <x v="0"/>
    <x v="94"/>
    <n v="449.97"/>
  </r>
  <r>
    <x v="95"/>
    <x v="62"/>
    <s v="CUST044"/>
    <x v="19"/>
    <s v="P008"/>
    <x v="2"/>
    <x v="2"/>
    <n v="5"/>
    <n v="149.99"/>
    <x v="1"/>
    <x v="0"/>
    <x v="0"/>
    <x v="95"/>
    <n v="749.95"/>
  </r>
  <r>
    <x v="96"/>
    <x v="63"/>
    <s v="CUST039"/>
    <x v="40"/>
    <s v="P004"/>
    <x v="7"/>
    <x v="1"/>
    <n v="3"/>
    <n v="79.989999999999995"/>
    <x v="0"/>
    <x v="0"/>
    <x v="1"/>
    <x v="96"/>
    <n v="239.97"/>
  </r>
  <r>
    <x v="97"/>
    <x v="63"/>
    <s v="CUST035"/>
    <x v="28"/>
    <s v="P009"/>
    <x v="0"/>
    <x v="0"/>
    <n v="2"/>
    <n v="249.99"/>
    <x v="0"/>
    <x v="1"/>
    <x v="2"/>
    <x v="97"/>
    <n v="499.98"/>
  </r>
  <r>
    <x v="98"/>
    <x v="64"/>
    <s v="CUST047"/>
    <x v="38"/>
    <s v="P002"/>
    <x v="5"/>
    <x v="0"/>
    <n v="1"/>
    <n v="699.99"/>
    <x v="0"/>
    <x v="0"/>
    <x v="1"/>
    <x v="98"/>
    <n v="699.99"/>
  </r>
  <r>
    <x v="99"/>
    <x v="64"/>
    <s v="CUST034"/>
    <x v="41"/>
    <s v="P003"/>
    <x v="3"/>
    <x v="0"/>
    <n v="3"/>
    <n v="149.99"/>
    <x v="0"/>
    <x v="3"/>
    <x v="1"/>
    <x v="99"/>
    <n v="449.97"/>
  </r>
  <r>
    <x v="100"/>
    <x v="65"/>
    <s v="CUST032"/>
    <x v="42"/>
    <s v="P002"/>
    <x v="5"/>
    <x v="0"/>
    <n v="2"/>
    <n v="699.99"/>
    <x v="1"/>
    <x v="2"/>
    <x v="1"/>
    <x v="63"/>
    <n v="1399.98"/>
  </r>
  <r>
    <x v="101"/>
    <x v="66"/>
    <s v="CUST034"/>
    <x v="41"/>
    <s v="P009"/>
    <x v="0"/>
    <x v="0"/>
    <n v="1"/>
    <n v="249.99"/>
    <x v="1"/>
    <x v="3"/>
    <x v="1"/>
    <x v="100"/>
    <n v="249.99"/>
  </r>
  <r>
    <x v="102"/>
    <x v="66"/>
    <s v="CUST023"/>
    <x v="0"/>
    <s v="P009"/>
    <x v="0"/>
    <x v="0"/>
    <n v="1"/>
    <n v="249.99"/>
    <x v="3"/>
    <x v="2"/>
    <x v="1"/>
    <x v="101"/>
    <n v="249.99"/>
  </r>
  <r>
    <x v="103"/>
    <x v="67"/>
    <s v="CUST039"/>
    <x v="40"/>
    <s v="P002"/>
    <x v="5"/>
    <x v="0"/>
    <n v="2"/>
    <n v="699.99"/>
    <x v="3"/>
    <x v="0"/>
    <x v="1"/>
    <x v="102"/>
    <n v="1399.98"/>
  </r>
  <r>
    <x v="104"/>
    <x v="68"/>
    <s v="CUST031"/>
    <x v="26"/>
    <s v="P005"/>
    <x v="1"/>
    <x v="1"/>
    <n v="3"/>
    <n v="59.99"/>
    <x v="1"/>
    <x v="0"/>
    <x v="1"/>
    <x v="103"/>
    <n v="179.97"/>
  </r>
  <r>
    <x v="105"/>
    <x v="69"/>
    <s v="CUST002"/>
    <x v="25"/>
    <s v="P005"/>
    <x v="1"/>
    <x v="1"/>
    <n v="3"/>
    <n v="59.99"/>
    <x v="2"/>
    <x v="4"/>
    <x v="2"/>
    <x v="104"/>
    <n v="179.97"/>
  </r>
  <r>
    <x v="106"/>
    <x v="69"/>
    <s v="CUST008"/>
    <x v="27"/>
    <s v="P004"/>
    <x v="7"/>
    <x v="1"/>
    <n v="4"/>
    <n v="79.989999999999995"/>
    <x v="0"/>
    <x v="2"/>
    <x v="0"/>
    <x v="105"/>
    <n v="319.95999999999998"/>
  </r>
  <r>
    <x v="107"/>
    <x v="70"/>
    <s v="CUST017"/>
    <x v="6"/>
    <s v="P004"/>
    <x v="7"/>
    <x v="1"/>
    <n v="1"/>
    <n v="79.989999999999995"/>
    <x v="0"/>
    <x v="3"/>
    <x v="0"/>
    <x v="106"/>
    <n v="79.989999999999995"/>
  </r>
  <r>
    <x v="108"/>
    <x v="71"/>
    <s v="CUST024"/>
    <x v="5"/>
    <s v="P007"/>
    <x v="6"/>
    <x v="2"/>
    <n v="3"/>
    <n v="299.99"/>
    <x v="1"/>
    <x v="0"/>
    <x v="1"/>
    <x v="107"/>
    <n v="899.97"/>
  </r>
  <r>
    <x v="109"/>
    <x v="72"/>
    <s v="CUST046"/>
    <x v="3"/>
    <s v="P010"/>
    <x v="8"/>
    <x v="0"/>
    <n v="2"/>
    <n v="89.99"/>
    <x v="1"/>
    <x v="1"/>
    <x v="1"/>
    <x v="108"/>
    <n v="179.98"/>
  </r>
  <r>
    <x v="110"/>
    <x v="73"/>
    <s v="CUST042"/>
    <x v="43"/>
    <s v="P003"/>
    <x v="3"/>
    <x v="0"/>
    <n v="4"/>
    <n v="149.99"/>
    <x v="0"/>
    <x v="2"/>
    <x v="0"/>
    <x v="67"/>
    <n v="599.96"/>
  </r>
  <r>
    <x v="111"/>
    <x v="74"/>
    <s v="CUST026"/>
    <x v="8"/>
    <s v="P009"/>
    <x v="0"/>
    <x v="0"/>
    <n v="2"/>
    <n v="249.99"/>
    <x v="2"/>
    <x v="1"/>
    <x v="0"/>
    <x v="57"/>
    <n v="499.98"/>
  </r>
  <r>
    <x v="112"/>
    <x v="74"/>
    <s v="CUST004"/>
    <x v="31"/>
    <s v="P006"/>
    <x v="9"/>
    <x v="2"/>
    <n v="4"/>
    <n v="199.99"/>
    <x v="3"/>
    <x v="4"/>
    <x v="0"/>
    <x v="90"/>
    <n v="799.96"/>
  </r>
  <r>
    <x v="113"/>
    <x v="75"/>
    <s v="CUST019"/>
    <x v="29"/>
    <s v="P010"/>
    <x v="8"/>
    <x v="0"/>
    <n v="5"/>
    <n v="89.99"/>
    <x v="1"/>
    <x v="4"/>
    <x v="1"/>
    <x v="109"/>
    <n v="449.95"/>
  </r>
  <r>
    <x v="114"/>
    <x v="75"/>
    <s v="CUST011"/>
    <x v="44"/>
    <s v="P003"/>
    <x v="3"/>
    <x v="0"/>
    <n v="1"/>
    <n v="149.99"/>
    <x v="2"/>
    <x v="4"/>
    <x v="2"/>
    <x v="110"/>
    <n v="149.99"/>
  </r>
  <r>
    <x v="115"/>
    <x v="75"/>
    <s v="CUST041"/>
    <x v="10"/>
    <s v="P002"/>
    <x v="5"/>
    <x v="0"/>
    <n v="4"/>
    <n v="699.99"/>
    <x v="2"/>
    <x v="1"/>
    <x v="0"/>
    <x v="111"/>
    <n v="2799.96"/>
  </r>
  <r>
    <x v="116"/>
    <x v="76"/>
    <s v="CUST032"/>
    <x v="42"/>
    <s v="P001"/>
    <x v="4"/>
    <x v="0"/>
    <n v="3"/>
    <n v="899.99"/>
    <x v="1"/>
    <x v="2"/>
    <x v="2"/>
    <x v="112"/>
    <n v="2699.97"/>
  </r>
  <r>
    <x v="117"/>
    <x v="77"/>
    <s v="CUST014"/>
    <x v="21"/>
    <s v="P008"/>
    <x v="2"/>
    <x v="2"/>
    <n v="3"/>
    <n v="149.99"/>
    <x v="2"/>
    <x v="4"/>
    <x v="0"/>
    <x v="113"/>
    <n v="449.97"/>
  </r>
  <r>
    <x v="118"/>
    <x v="78"/>
    <s v="CUST012"/>
    <x v="18"/>
    <s v="P007"/>
    <x v="6"/>
    <x v="2"/>
    <n v="2"/>
    <n v="299.99"/>
    <x v="3"/>
    <x v="0"/>
    <x v="0"/>
    <x v="114"/>
    <n v="599.98"/>
  </r>
  <r>
    <x v="119"/>
    <x v="79"/>
    <s v="CUST015"/>
    <x v="45"/>
    <s v="P006"/>
    <x v="9"/>
    <x v="2"/>
    <n v="1"/>
    <n v="199.99"/>
    <x v="3"/>
    <x v="4"/>
    <x v="2"/>
    <x v="115"/>
    <n v="199.99"/>
  </r>
  <r>
    <x v="120"/>
    <x v="80"/>
    <s v="CUST003"/>
    <x v="4"/>
    <s v="P007"/>
    <x v="6"/>
    <x v="2"/>
    <n v="4"/>
    <n v="299.99"/>
    <x v="0"/>
    <x v="0"/>
    <x v="1"/>
    <x v="116"/>
    <n v="1199.96"/>
  </r>
  <r>
    <x v="121"/>
    <x v="81"/>
    <s v="CUST010"/>
    <x v="15"/>
    <s v="P005"/>
    <x v="1"/>
    <x v="1"/>
    <n v="2"/>
    <n v="59.99"/>
    <x v="1"/>
    <x v="0"/>
    <x v="0"/>
    <x v="47"/>
    <n v="119.98"/>
  </r>
  <r>
    <x v="122"/>
    <x v="81"/>
    <s v="CUST032"/>
    <x v="42"/>
    <s v="P003"/>
    <x v="3"/>
    <x v="0"/>
    <n v="4"/>
    <n v="149.99"/>
    <x v="1"/>
    <x v="2"/>
    <x v="1"/>
    <x v="117"/>
    <n v="599.96"/>
  </r>
  <r>
    <x v="123"/>
    <x v="82"/>
    <s v="CUST016"/>
    <x v="39"/>
    <s v="P002"/>
    <x v="5"/>
    <x v="0"/>
    <n v="2"/>
    <n v="699.99"/>
    <x v="3"/>
    <x v="4"/>
    <x v="1"/>
    <x v="118"/>
    <n v="1399.98"/>
  </r>
  <r>
    <x v="124"/>
    <x v="82"/>
    <s v="CUST034"/>
    <x v="41"/>
    <s v="P008"/>
    <x v="2"/>
    <x v="2"/>
    <n v="3"/>
    <n v="149.99"/>
    <x v="1"/>
    <x v="1"/>
    <x v="2"/>
    <x v="119"/>
    <n v="449.97"/>
  </r>
  <r>
    <x v="125"/>
    <x v="83"/>
    <s v="CUST019"/>
    <x v="29"/>
    <s v="P007"/>
    <x v="6"/>
    <x v="2"/>
    <n v="3"/>
    <n v="299.99"/>
    <x v="1"/>
    <x v="0"/>
    <x v="2"/>
    <x v="120"/>
    <n v="899.97"/>
  </r>
  <r>
    <x v="126"/>
    <x v="84"/>
    <s v="CUST027"/>
    <x v="13"/>
    <s v="P001"/>
    <x v="4"/>
    <x v="0"/>
    <n v="3"/>
    <n v="899.99"/>
    <x v="2"/>
    <x v="3"/>
    <x v="0"/>
    <x v="121"/>
    <n v="2699.97"/>
  </r>
  <r>
    <x v="127"/>
    <x v="85"/>
    <s v="CUST018"/>
    <x v="17"/>
    <s v="P002"/>
    <x v="5"/>
    <x v="0"/>
    <n v="5"/>
    <n v="699.99"/>
    <x v="0"/>
    <x v="4"/>
    <x v="2"/>
    <x v="122"/>
    <n v="3499.95"/>
  </r>
  <r>
    <x v="128"/>
    <x v="85"/>
    <s v="CUST049"/>
    <x v="34"/>
    <s v="P002"/>
    <x v="5"/>
    <x v="0"/>
    <n v="4"/>
    <n v="699.99"/>
    <x v="1"/>
    <x v="0"/>
    <x v="0"/>
    <x v="123"/>
    <n v="2799.96"/>
  </r>
  <r>
    <x v="129"/>
    <x v="85"/>
    <s v="CUST040"/>
    <x v="30"/>
    <s v="P001"/>
    <x v="4"/>
    <x v="0"/>
    <n v="1"/>
    <n v="899.99"/>
    <x v="1"/>
    <x v="4"/>
    <x v="2"/>
    <x v="124"/>
    <n v="899.99"/>
  </r>
  <r>
    <x v="130"/>
    <x v="86"/>
    <s v="CUST039"/>
    <x v="40"/>
    <s v="P003"/>
    <x v="3"/>
    <x v="0"/>
    <n v="2"/>
    <n v="149.99"/>
    <x v="1"/>
    <x v="3"/>
    <x v="0"/>
    <x v="125"/>
    <n v="299.98"/>
  </r>
  <r>
    <x v="131"/>
    <x v="87"/>
    <s v="CUST039"/>
    <x v="40"/>
    <s v="P010"/>
    <x v="8"/>
    <x v="0"/>
    <n v="3"/>
    <n v="89.99"/>
    <x v="2"/>
    <x v="0"/>
    <x v="0"/>
    <x v="126"/>
    <n v="269.97000000000003"/>
  </r>
  <r>
    <x v="132"/>
    <x v="88"/>
    <s v="CUST046"/>
    <x v="3"/>
    <s v="P003"/>
    <x v="3"/>
    <x v="0"/>
    <n v="2"/>
    <n v="149.99"/>
    <x v="2"/>
    <x v="0"/>
    <x v="0"/>
    <x v="127"/>
    <n v="299.98"/>
  </r>
  <r>
    <x v="133"/>
    <x v="88"/>
    <s v="CUST004"/>
    <x v="31"/>
    <s v="P002"/>
    <x v="5"/>
    <x v="0"/>
    <n v="2"/>
    <n v="699.99"/>
    <x v="0"/>
    <x v="0"/>
    <x v="0"/>
    <x v="128"/>
    <n v="1399.98"/>
  </r>
  <r>
    <x v="134"/>
    <x v="89"/>
    <s v="CUST028"/>
    <x v="32"/>
    <s v="P002"/>
    <x v="5"/>
    <x v="0"/>
    <n v="5"/>
    <n v="699.99"/>
    <x v="0"/>
    <x v="2"/>
    <x v="1"/>
    <x v="129"/>
    <n v="3499.95"/>
  </r>
  <r>
    <x v="135"/>
    <x v="90"/>
    <s v="CUST049"/>
    <x v="34"/>
    <s v="P010"/>
    <x v="8"/>
    <x v="0"/>
    <n v="3"/>
    <n v="89.99"/>
    <x v="1"/>
    <x v="2"/>
    <x v="2"/>
    <x v="130"/>
    <n v="269.97000000000003"/>
  </r>
  <r>
    <x v="136"/>
    <x v="91"/>
    <s v="CUST023"/>
    <x v="0"/>
    <s v="P009"/>
    <x v="0"/>
    <x v="0"/>
    <n v="5"/>
    <n v="249.99"/>
    <x v="1"/>
    <x v="1"/>
    <x v="2"/>
    <x v="131"/>
    <n v="1249.95"/>
  </r>
  <r>
    <x v="137"/>
    <x v="92"/>
    <s v="CUST026"/>
    <x v="8"/>
    <s v="P007"/>
    <x v="6"/>
    <x v="2"/>
    <n v="3"/>
    <n v="299.99"/>
    <x v="1"/>
    <x v="1"/>
    <x v="2"/>
    <x v="132"/>
    <n v="899.97"/>
  </r>
  <r>
    <x v="138"/>
    <x v="93"/>
    <s v="CUST012"/>
    <x v="18"/>
    <s v="P010"/>
    <x v="8"/>
    <x v="0"/>
    <n v="3"/>
    <n v="89.99"/>
    <x v="1"/>
    <x v="2"/>
    <x v="1"/>
    <x v="133"/>
    <n v="269.97000000000003"/>
  </r>
  <r>
    <x v="139"/>
    <x v="94"/>
    <s v="CUST010"/>
    <x v="15"/>
    <s v="P008"/>
    <x v="2"/>
    <x v="2"/>
    <n v="2"/>
    <n v="149.99"/>
    <x v="1"/>
    <x v="3"/>
    <x v="1"/>
    <x v="134"/>
    <n v="299.98"/>
  </r>
  <r>
    <x v="140"/>
    <x v="95"/>
    <s v="CUST020"/>
    <x v="36"/>
    <s v="P009"/>
    <x v="0"/>
    <x v="0"/>
    <n v="1"/>
    <n v="249.99"/>
    <x v="1"/>
    <x v="2"/>
    <x v="1"/>
    <x v="135"/>
    <n v="249.99"/>
  </r>
  <r>
    <x v="141"/>
    <x v="96"/>
    <s v="CUST041"/>
    <x v="10"/>
    <s v="P003"/>
    <x v="3"/>
    <x v="0"/>
    <n v="3"/>
    <n v="149.99"/>
    <x v="0"/>
    <x v="2"/>
    <x v="0"/>
    <x v="136"/>
    <n v="449.97"/>
  </r>
  <r>
    <x v="142"/>
    <x v="96"/>
    <s v="CUST023"/>
    <x v="0"/>
    <s v="P005"/>
    <x v="1"/>
    <x v="1"/>
    <n v="5"/>
    <n v="59.99"/>
    <x v="2"/>
    <x v="3"/>
    <x v="1"/>
    <x v="137"/>
    <n v="299.95"/>
  </r>
  <r>
    <x v="143"/>
    <x v="96"/>
    <s v="CUST012"/>
    <x v="18"/>
    <s v="P009"/>
    <x v="0"/>
    <x v="0"/>
    <n v="4"/>
    <n v="249.99"/>
    <x v="1"/>
    <x v="3"/>
    <x v="2"/>
    <x v="138"/>
    <n v="999.96"/>
  </r>
  <r>
    <x v="144"/>
    <x v="97"/>
    <s v="CUST004"/>
    <x v="31"/>
    <s v="P008"/>
    <x v="2"/>
    <x v="2"/>
    <n v="5"/>
    <n v="149.99"/>
    <x v="2"/>
    <x v="0"/>
    <x v="0"/>
    <x v="139"/>
    <n v="749.95"/>
  </r>
  <r>
    <x v="145"/>
    <x v="97"/>
    <s v="CUST027"/>
    <x v="13"/>
    <s v="P005"/>
    <x v="1"/>
    <x v="1"/>
    <n v="3"/>
    <n v="59.99"/>
    <x v="3"/>
    <x v="1"/>
    <x v="2"/>
    <x v="140"/>
    <n v="179.97"/>
  </r>
  <r>
    <x v="146"/>
    <x v="98"/>
    <s v="CUST032"/>
    <x v="42"/>
    <s v="P008"/>
    <x v="2"/>
    <x v="2"/>
    <n v="5"/>
    <n v="149.99"/>
    <x v="0"/>
    <x v="2"/>
    <x v="0"/>
    <x v="141"/>
    <n v="749.95"/>
  </r>
  <r>
    <x v="147"/>
    <x v="98"/>
    <s v="CUST025"/>
    <x v="14"/>
    <s v="P002"/>
    <x v="5"/>
    <x v="0"/>
    <n v="2"/>
    <n v="699.99"/>
    <x v="2"/>
    <x v="3"/>
    <x v="2"/>
    <x v="142"/>
    <n v="1399.98"/>
  </r>
  <r>
    <x v="148"/>
    <x v="99"/>
    <s v="CUST029"/>
    <x v="23"/>
    <s v="P006"/>
    <x v="9"/>
    <x v="2"/>
    <n v="4"/>
    <n v="199.99"/>
    <x v="3"/>
    <x v="0"/>
    <x v="1"/>
    <x v="143"/>
    <n v="799.96"/>
  </r>
  <r>
    <x v="149"/>
    <x v="100"/>
    <s v="CUST033"/>
    <x v="37"/>
    <s v="P005"/>
    <x v="1"/>
    <x v="1"/>
    <n v="1"/>
    <n v="59.99"/>
    <x v="3"/>
    <x v="3"/>
    <x v="2"/>
    <x v="144"/>
    <n v="59.99"/>
  </r>
  <r>
    <x v="150"/>
    <x v="100"/>
    <s v="CUST004"/>
    <x v="31"/>
    <s v="P002"/>
    <x v="5"/>
    <x v="0"/>
    <n v="3"/>
    <n v="699.99"/>
    <x v="2"/>
    <x v="3"/>
    <x v="2"/>
    <x v="145"/>
    <n v="2099.9699999999998"/>
  </r>
  <r>
    <x v="151"/>
    <x v="101"/>
    <s v="CUST045"/>
    <x v="46"/>
    <s v="P009"/>
    <x v="0"/>
    <x v="0"/>
    <n v="5"/>
    <n v="249.99"/>
    <x v="1"/>
    <x v="2"/>
    <x v="0"/>
    <x v="146"/>
    <n v="1249.95"/>
  </r>
  <r>
    <x v="152"/>
    <x v="102"/>
    <s v="CUST014"/>
    <x v="21"/>
    <s v="P008"/>
    <x v="2"/>
    <x v="2"/>
    <n v="2"/>
    <n v="149.99"/>
    <x v="0"/>
    <x v="1"/>
    <x v="2"/>
    <x v="147"/>
    <n v="299.98"/>
  </r>
  <r>
    <x v="153"/>
    <x v="103"/>
    <s v="CUST021"/>
    <x v="2"/>
    <s v="P007"/>
    <x v="6"/>
    <x v="2"/>
    <n v="3"/>
    <n v="299.99"/>
    <x v="0"/>
    <x v="1"/>
    <x v="1"/>
    <x v="138"/>
    <n v="899.97"/>
  </r>
  <r>
    <x v="154"/>
    <x v="103"/>
    <s v="CUST017"/>
    <x v="6"/>
    <s v="P009"/>
    <x v="0"/>
    <x v="0"/>
    <n v="5"/>
    <n v="249.99"/>
    <x v="0"/>
    <x v="0"/>
    <x v="1"/>
    <x v="148"/>
    <n v="1249.95"/>
  </r>
  <r>
    <x v="155"/>
    <x v="103"/>
    <s v="CUST013"/>
    <x v="1"/>
    <s v="P003"/>
    <x v="3"/>
    <x v="0"/>
    <n v="2"/>
    <n v="149.99"/>
    <x v="0"/>
    <x v="1"/>
    <x v="1"/>
    <x v="149"/>
    <n v="299.98"/>
  </r>
  <r>
    <x v="156"/>
    <x v="103"/>
    <s v="CUST025"/>
    <x v="14"/>
    <s v="P002"/>
    <x v="5"/>
    <x v="0"/>
    <n v="5"/>
    <n v="699.99"/>
    <x v="3"/>
    <x v="3"/>
    <x v="2"/>
    <x v="150"/>
    <n v="3499.95"/>
  </r>
  <r>
    <x v="157"/>
    <x v="104"/>
    <s v="CUST011"/>
    <x v="44"/>
    <s v="P009"/>
    <x v="0"/>
    <x v="0"/>
    <n v="4"/>
    <n v="249.99"/>
    <x v="2"/>
    <x v="4"/>
    <x v="1"/>
    <x v="151"/>
    <n v="999.96"/>
  </r>
  <r>
    <x v="158"/>
    <x v="105"/>
    <s v="CUST024"/>
    <x v="5"/>
    <s v="P002"/>
    <x v="5"/>
    <x v="0"/>
    <n v="4"/>
    <n v="699.99"/>
    <x v="1"/>
    <x v="2"/>
    <x v="1"/>
    <x v="152"/>
    <n v="2799.96"/>
  </r>
  <r>
    <x v="159"/>
    <x v="106"/>
    <s v="CUST036"/>
    <x v="20"/>
    <s v="P009"/>
    <x v="0"/>
    <x v="0"/>
    <n v="2"/>
    <n v="249.99"/>
    <x v="1"/>
    <x v="0"/>
    <x v="1"/>
    <x v="153"/>
    <n v="499.98"/>
  </r>
  <r>
    <x v="160"/>
    <x v="106"/>
    <s v="CUST005"/>
    <x v="47"/>
    <s v="P005"/>
    <x v="1"/>
    <x v="1"/>
    <n v="3"/>
    <n v="59.99"/>
    <x v="0"/>
    <x v="0"/>
    <x v="1"/>
    <x v="154"/>
    <n v="179.97"/>
  </r>
  <r>
    <x v="161"/>
    <x v="106"/>
    <s v="CUST008"/>
    <x v="27"/>
    <s v="P004"/>
    <x v="7"/>
    <x v="1"/>
    <n v="4"/>
    <n v="79.989999999999995"/>
    <x v="3"/>
    <x v="4"/>
    <x v="2"/>
    <x v="155"/>
    <n v="319.95999999999998"/>
  </r>
  <r>
    <x v="162"/>
    <x v="107"/>
    <s v="CUST030"/>
    <x v="22"/>
    <s v="P004"/>
    <x v="7"/>
    <x v="1"/>
    <n v="3"/>
    <n v="79.989999999999995"/>
    <x v="3"/>
    <x v="4"/>
    <x v="2"/>
    <x v="96"/>
    <n v="239.97"/>
  </r>
  <r>
    <x v="163"/>
    <x v="108"/>
    <s v="CUST041"/>
    <x v="10"/>
    <s v="P001"/>
    <x v="4"/>
    <x v="0"/>
    <n v="2"/>
    <n v="899.99"/>
    <x v="0"/>
    <x v="2"/>
    <x v="0"/>
    <x v="156"/>
    <n v="1799.98"/>
  </r>
  <r>
    <x v="164"/>
    <x v="109"/>
    <s v="CUST007"/>
    <x v="35"/>
    <s v="P008"/>
    <x v="2"/>
    <x v="2"/>
    <n v="1"/>
    <n v="149.99"/>
    <x v="3"/>
    <x v="4"/>
    <x v="2"/>
    <x v="157"/>
    <n v="149.99"/>
  </r>
  <r>
    <x v="165"/>
    <x v="109"/>
    <s v="CUST031"/>
    <x v="26"/>
    <s v="P007"/>
    <x v="6"/>
    <x v="2"/>
    <n v="2"/>
    <n v="299.99"/>
    <x v="0"/>
    <x v="4"/>
    <x v="1"/>
    <x v="158"/>
    <n v="599.98"/>
  </r>
  <r>
    <x v="166"/>
    <x v="110"/>
    <s v="CUST002"/>
    <x v="25"/>
    <s v="P005"/>
    <x v="1"/>
    <x v="1"/>
    <n v="2"/>
    <n v="59.99"/>
    <x v="0"/>
    <x v="3"/>
    <x v="0"/>
    <x v="159"/>
    <n v="119.98"/>
  </r>
  <r>
    <x v="167"/>
    <x v="111"/>
    <s v="CUST007"/>
    <x v="35"/>
    <s v="P010"/>
    <x v="8"/>
    <x v="0"/>
    <n v="1"/>
    <n v="89.99"/>
    <x v="3"/>
    <x v="0"/>
    <x v="2"/>
    <x v="160"/>
    <n v="89.99"/>
  </r>
  <r>
    <x v="168"/>
    <x v="111"/>
    <s v="CUST019"/>
    <x v="29"/>
    <s v="P001"/>
    <x v="4"/>
    <x v="0"/>
    <n v="5"/>
    <n v="899.99"/>
    <x v="3"/>
    <x v="4"/>
    <x v="2"/>
    <x v="161"/>
    <n v="4499.95"/>
  </r>
  <r>
    <x v="169"/>
    <x v="112"/>
    <s v="CUST003"/>
    <x v="4"/>
    <s v="P008"/>
    <x v="2"/>
    <x v="2"/>
    <n v="2"/>
    <n v="149.99"/>
    <x v="0"/>
    <x v="1"/>
    <x v="0"/>
    <x v="162"/>
    <n v="299.98"/>
  </r>
  <r>
    <x v="170"/>
    <x v="113"/>
    <s v="CUST014"/>
    <x v="21"/>
    <s v="P003"/>
    <x v="3"/>
    <x v="0"/>
    <n v="2"/>
    <n v="149.99"/>
    <x v="3"/>
    <x v="3"/>
    <x v="1"/>
    <x v="163"/>
    <n v="299.98"/>
  </r>
  <r>
    <x v="171"/>
    <x v="113"/>
    <s v="CUST007"/>
    <x v="35"/>
    <s v="P008"/>
    <x v="2"/>
    <x v="2"/>
    <n v="3"/>
    <n v="149.99"/>
    <x v="3"/>
    <x v="2"/>
    <x v="2"/>
    <x v="164"/>
    <n v="449.97"/>
  </r>
  <r>
    <x v="172"/>
    <x v="114"/>
    <s v="CUST021"/>
    <x v="2"/>
    <s v="P007"/>
    <x v="6"/>
    <x v="2"/>
    <n v="2"/>
    <n v="299.99"/>
    <x v="2"/>
    <x v="1"/>
    <x v="0"/>
    <x v="165"/>
    <n v="599.98"/>
  </r>
  <r>
    <x v="173"/>
    <x v="115"/>
    <s v="CUST003"/>
    <x v="4"/>
    <s v="P007"/>
    <x v="6"/>
    <x v="2"/>
    <n v="2"/>
    <n v="299.99"/>
    <x v="0"/>
    <x v="3"/>
    <x v="0"/>
    <x v="166"/>
    <n v="599.98"/>
  </r>
  <r>
    <x v="174"/>
    <x v="115"/>
    <s v="CUST030"/>
    <x v="22"/>
    <s v="P006"/>
    <x v="9"/>
    <x v="2"/>
    <n v="4"/>
    <n v="199.99"/>
    <x v="1"/>
    <x v="0"/>
    <x v="0"/>
    <x v="82"/>
    <n v="799.96"/>
  </r>
  <r>
    <x v="175"/>
    <x v="116"/>
    <s v="CUST009"/>
    <x v="7"/>
    <s v="P010"/>
    <x v="8"/>
    <x v="0"/>
    <n v="1"/>
    <n v="89.99"/>
    <x v="1"/>
    <x v="1"/>
    <x v="1"/>
    <x v="167"/>
    <n v="89.99"/>
  </r>
  <r>
    <x v="176"/>
    <x v="116"/>
    <s v="CUST036"/>
    <x v="20"/>
    <s v="P008"/>
    <x v="2"/>
    <x v="2"/>
    <n v="5"/>
    <n v="149.99"/>
    <x v="0"/>
    <x v="0"/>
    <x v="1"/>
    <x v="168"/>
    <n v="749.95"/>
  </r>
  <r>
    <x v="177"/>
    <x v="117"/>
    <s v="CUST025"/>
    <x v="14"/>
    <s v="P001"/>
    <x v="4"/>
    <x v="0"/>
    <n v="1"/>
    <n v="899.99"/>
    <x v="2"/>
    <x v="2"/>
    <x v="1"/>
    <x v="169"/>
    <n v="899.99"/>
  </r>
  <r>
    <x v="178"/>
    <x v="118"/>
    <s v="CUST019"/>
    <x v="29"/>
    <s v="P010"/>
    <x v="8"/>
    <x v="0"/>
    <n v="2"/>
    <n v="89.99"/>
    <x v="1"/>
    <x v="1"/>
    <x v="1"/>
    <x v="170"/>
    <n v="179.98"/>
  </r>
  <r>
    <x v="179"/>
    <x v="119"/>
    <s v="CUST037"/>
    <x v="48"/>
    <s v="P001"/>
    <x v="4"/>
    <x v="0"/>
    <n v="1"/>
    <n v="899.99"/>
    <x v="2"/>
    <x v="2"/>
    <x v="2"/>
    <x v="171"/>
    <n v="899.99"/>
  </r>
  <r>
    <x v="180"/>
    <x v="120"/>
    <s v="CUST006"/>
    <x v="24"/>
    <s v="P003"/>
    <x v="3"/>
    <x v="0"/>
    <n v="5"/>
    <n v="149.99"/>
    <x v="2"/>
    <x v="4"/>
    <x v="1"/>
    <x v="34"/>
    <n v="749.95"/>
  </r>
  <r>
    <x v="181"/>
    <x v="120"/>
    <s v="CUST003"/>
    <x v="4"/>
    <s v="P007"/>
    <x v="6"/>
    <x v="2"/>
    <n v="3"/>
    <n v="299.99"/>
    <x v="0"/>
    <x v="1"/>
    <x v="2"/>
    <x v="172"/>
    <n v="899.97"/>
  </r>
  <r>
    <x v="182"/>
    <x v="121"/>
    <s v="CUST026"/>
    <x v="8"/>
    <s v="P002"/>
    <x v="5"/>
    <x v="0"/>
    <n v="3"/>
    <n v="699.99"/>
    <x v="1"/>
    <x v="0"/>
    <x v="1"/>
    <x v="173"/>
    <n v="2099.9699999999998"/>
  </r>
  <r>
    <x v="183"/>
    <x v="122"/>
    <s v="CUST036"/>
    <x v="20"/>
    <s v="P006"/>
    <x v="9"/>
    <x v="2"/>
    <n v="5"/>
    <n v="199.99"/>
    <x v="2"/>
    <x v="0"/>
    <x v="2"/>
    <x v="174"/>
    <n v="999.95"/>
  </r>
  <r>
    <x v="184"/>
    <x v="122"/>
    <s v="CUST048"/>
    <x v="16"/>
    <s v="P009"/>
    <x v="0"/>
    <x v="0"/>
    <n v="5"/>
    <n v="249.99"/>
    <x v="1"/>
    <x v="1"/>
    <x v="0"/>
    <x v="175"/>
    <n v="1249.95"/>
  </r>
  <r>
    <x v="185"/>
    <x v="123"/>
    <s v="CUST031"/>
    <x v="26"/>
    <s v="P003"/>
    <x v="3"/>
    <x v="0"/>
    <n v="4"/>
    <n v="149.99"/>
    <x v="3"/>
    <x v="4"/>
    <x v="2"/>
    <x v="176"/>
    <n v="599.96"/>
  </r>
  <r>
    <x v="186"/>
    <x v="123"/>
    <s v="CUST038"/>
    <x v="12"/>
    <s v="P002"/>
    <x v="5"/>
    <x v="0"/>
    <n v="3"/>
    <n v="699.99"/>
    <x v="0"/>
    <x v="2"/>
    <x v="1"/>
    <x v="177"/>
    <n v="2099.9699999999998"/>
  </r>
  <r>
    <x v="187"/>
    <x v="124"/>
    <s v="CUST045"/>
    <x v="46"/>
    <s v="P004"/>
    <x v="7"/>
    <x v="1"/>
    <n v="1"/>
    <n v="79.989999999999995"/>
    <x v="1"/>
    <x v="1"/>
    <x v="0"/>
    <x v="178"/>
    <n v="79.989999999999995"/>
  </r>
  <r>
    <x v="188"/>
    <x v="124"/>
    <s v="CUST025"/>
    <x v="14"/>
    <s v="P007"/>
    <x v="6"/>
    <x v="2"/>
    <n v="1"/>
    <n v="299.99"/>
    <x v="1"/>
    <x v="2"/>
    <x v="0"/>
    <x v="179"/>
    <n v="299.99"/>
  </r>
  <r>
    <x v="189"/>
    <x v="125"/>
    <s v="CUST028"/>
    <x v="32"/>
    <s v="P009"/>
    <x v="0"/>
    <x v="0"/>
    <n v="4"/>
    <n v="249.99"/>
    <x v="1"/>
    <x v="2"/>
    <x v="1"/>
    <x v="116"/>
    <n v="999.96"/>
  </r>
  <r>
    <x v="190"/>
    <x v="125"/>
    <s v="CUST030"/>
    <x v="22"/>
    <s v="P003"/>
    <x v="3"/>
    <x v="0"/>
    <n v="2"/>
    <n v="149.99"/>
    <x v="0"/>
    <x v="2"/>
    <x v="2"/>
    <x v="180"/>
    <n v="299.98"/>
  </r>
  <r>
    <x v="191"/>
    <x v="125"/>
    <s v="CUST032"/>
    <x v="42"/>
    <s v="P007"/>
    <x v="6"/>
    <x v="2"/>
    <n v="3"/>
    <n v="299.99"/>
    <x v="1"/>
    <x v="1"/>
    <x v="0"/>
    <x v="181"/>
    <n v="899.97"/>
  </r>
  <r>
    <x v="192"/>
    <x v="126"/>
    <s v="CUST039"/>
    <x v="40"/>
    <s v="P006"/>
    <x v="9"/>
    <x v="2"/>
    <n v="4"/>
    <n v="199.99"/>
    <x v="3"/>
    <x v="1"/>
    <x v="2"/>
    <x v="182"/>
    <n v="799.96"/>
  </r>
  <r>
    <x v="193"/>
    <x v="126"/>
    <s v="CUST016"/>
    <x v="39"/>
    <s v="P007"/>
    <x v="6"/>
    <x v="2"/>
    <n v="5"/>
    <n v="299.99"/>
    <x v="3"/>
    <x v="0"/>
    <x v="0"/>
    <x v="183"/>
    <n v="1499.95"/>
  </r>
  <r>
    <x v="194"/>
    <x v="126"/>
    <s v="CUST009"/>
    <x v="7"/>
    <s v="P008"/>
    <x v="2"/>
    <x v="2"/>
    <n v="3"/>
    <n v="149.99"/>
    <x v="1"/>
    <x v="4"/>
    <x v="2"/>
    <x v="184"/>
    <n v="449.97"/>
  </r>
  <r>
    <x v="195"/>
    <x v="127"/>
    <s v="CUST006"/>
    <x v="24"/>
    <s v="P005"/>
    <x v="1"/>
    <x v="1"/>
    <n v="5"/>
    <n v="59.99"/>
    <x v="3"/>
    <x v="4"/>
    <x v="0"/>
    <x v="185"/>
    <n v="299.95"/>
  </r>
  <r>
    <x v="196"/>
    <x v="128"/>
    <s v="CUST022"/>
    <x v="9"/>
    <s v="P005"/>
    <x v="1"/>
    <x v="1"/>
    <n v="4"/>
    <n v="59.99"/>
    <x v="3"/>
    <x v="4"/>
    <x v="2"/>
    <x v="170"/>
    <n v="239.96"/>
  </r>
  <r>
    <x v="197"/>
    <x v="129"/>
    <s v="CUST024"/>
    <x v="5"/>
    <s v="P009"/>
    <x v="0"/>
    <x v="0"/>
    <n v="4"/>
    <n v="249.99"/>
    <x v="3"/>
    <x v="0"/>
    <x v="1"/>
    <x v="186"/>
    <n v="999.96"/>
  </r>
  <r>
    <x v="198"/>
    <x v="130"/>
    <s v="CUST011"/>
    <x v="44"/>
    <s v="P001"/>
    <x v="4"/>
    <x v="0"/>
    <n v="4"/>
    <n v="899.99"/>
    <x v="2"/>
    <x v="0"/>
    <x v="0"/>
    <x v="187"/>
    <n v="3599.96"/>
  </r>
  <r>
    <x v="199"/>
    <x v="130"/>
    <s v="CUST025"/>
    <x v="14"/>
    <s v="P007"/>
    <x v="6"/>
    <x v="2"/>
    <n v="3"/>
    <n v="299.99"/>
    <x v="3"/>
    <x v="3"/>
    <x v="2"/>
    <x v="188"/>
    <n v="899.97"/>
  </r>
  <r>
    <x v="200"/>
    <x v="130"/>
    <s v="CUST045"/>
    <x v="46"/>
    <s v="P002"/>
    <x v="5"/>
    <x v="0"/>
    <n v="2"/>
    <n v="699.99"/>
    <x v="3"/>
    <x v="0"/>
    <x v="1"/>
    <x v="189"/>
    <n v="1399.98"/>
  </r>
  <r>
    <x v="201"/>
    <x v="131"/>
    <s v="CUST026"/>
    <x v="8"/>
    <s v="P002"/>
    <x v="5"/>
    <x v="0"/>
    <n v="4"/>
    <n v="699.99"/>
    <x v="3"/>
    <x v="3"/>
    <x v="1"/>
    <x v="190"/>
    <n v="2799.96"/>
  </r>
  <r>
    <x v="202"/>
    <x v="131"/>
    <s v="CUST029"/>
    <x v="23"/>
    <s v="P010"/>
    <x v="8"/>
    <x v="0"/>
    <n v="2"/>
    <n v="89.99"/>
    <x v="3"/>
    <x v="1"/>
    <x v="0"/>
    <x v="191"/>
    <n v="179.98"/>
  </r>
  <r>
    <x v="203"/>
    <x v="131"/>
    <s v="CUST003"/>
    <x v="4"/>
    <s v="P010"/>
    <x v="8"/>
    <x v="0"/>
    <n v="3"/>
    <n v="89.99"/>
    <x v="3"/>
    <x v="1"/>
    <x v="1"/>
    <x v="192"/>
    <n v="269.97000000000003"/>
  </r>
  <r>
    <x v="204"/>
    <x v="132"/>
    <s v="CUST037"/>
    <x v="48"/>
    <s v="P005"/>
    <x v="1"/>
    <x v="1"/>
    <n v="1"/>
    <n v="59.99"/>
    <x v="3"/>
    <x v="0"/>
    <x v="2"/>
    <x v="193"/>
    <n v="59.99"/>
  </r>
  <r>
    <x v="205"/>
    <x v="133"/>
    <s v="CUST042"/>
    <x v="43"/>
    <s v="P008"/>
    <x v="2"/>
    <x v="2"/>
    <n v="3"/>
    <n v="149.99"/>
    <x v="3"/>
    <x v="2"/>
    <x v="1"/>
    <x v="170"/>
    <n v="449.97"/>
  </r>
  <r>
    <x v="206"/>
    <x v="133"/>
    <s v="CUST048"/>
    <x v="16"/>
    <s v="P007"/>
    <x v="6"/>
    <x v="2"/>
    <n v="5"/>
    <n v="299.99"/>
    <x v="1"/>
    <x v="1"/>
    <x v="0"/>
    <x v="194"/>
    <n v="1499.95"/>
  </r>
  <r>
    <x v="207"/>
    <x v="134"/>
    <s v="CUST040"/>
    <x v="30"/>
    <s v="P005"/>
    <x v="1"/>
    <x v="1"/>
    <n v="5"/>
    <n v="59.99"/>
    <x v="3"/>
    <x v="0"/>
    <x v="2"/>
    <x v="195"/>
    <n v="299.95"/>
  </r>
  <r>
    <x v="208"/>
    <x v="135"/>
    <s v="CUST036"/>
    <x v="20"/>
    <s v="P004"/>
    <x v="7"/>
    <x v="1"/>
    <n v="3"/>
    <n v="79.989999999999995"/>
    <x v="0"/>
    <x v="4"/>
    <x v="1"/>
    <x v="179"/>
    <n v="239.97"/>
  </r>
  <r>
    <x v="209"/>
    <x v="136"/>
    <s v="CUST021"/>
    <x v="2"/>
    <s v="P006"/>
    <x v="9"/>
    <x v="2"/>
    <n v="3"/>
    <n v="199.99"/>
    <x v="0"/>
    <x v="0"/>
    <x v="0"/>
    <x v="196"/>
    <n v="599.97"/>
  </r>
  <r>
    <x v="210"/>
    <x v="136"/>
    <s v="CUST023"/>
    <x v="0"/>
    <s v="P010"/>
    <x v="8"/>
    <x v="0"/>
    <n v="2"/>
    <n v="89.99"/>
    <x v="2"/>
    <x v="0"/>
    <x v="0"/>
    <x v="197"/>
    <n v="179.98"/>
  </r>
  <r>
    <x v="211"/>
    <x v="137"/>
    <s v="CUST015"/>
    <x v="45"/>
    <s v="P008"/>
    <x v="2"/>
    <x v="2"/>
    <n v="2"/>
    <n v="149.99"/>
    <x v="0"/>
    <x v="1"/>
    <x v="1"/>
    <x v="198"/>
    <n v="299.98"/>
  </r>
  <r>
    <x v="212"/>
    <x v="138"/>
    <s v="CUST029"/>
    <x v="23"/>
    <s v="P002"/>
    <x v="5"/>
    <x v="0"/>
    <n v="5"/>
    <n v="699.99"/>
    <x v="2"/>
    <x v="1"/>
    <x v="1"/>
    <x v="54"/>
    <n v="3499.95"/>
  </r>
  <r>
    <x v="213"/>
    <x v="138"/>
    <s v="CUST003"/>
    <x v="4"/>
    <s v="P008"/>
    <x v="2"/>
    <x v="2"/>
    <n v="3"/>
    <n v="149.99"/>
    <x v="2"/>
    <x v="0"/>
    <x v="2"/>
    <x v="174"/>
    <n v="449.97"/>
  </r>
  <r>
    <x v="214"/>
    <x v="139"/>
    <s v="CUST018"/>
    <x v="17"/>
    <s v="P001"/>
    <x v="4"/>
    <x v="0"/>
    <n v="3"/>
    <n v="899.99"/>
    <x v="0"/>
    <x v="4"/>
    <x v="2"/>
    <x v="199"/>
    <n v="2699.97"/>
  </r>
  <r>
    <x v="215"/>
    <x v="139"/>
    <s v="CUST033"/>
    <x v="37"/>
    <s v="P006"/>
    <x v="9"/>
    <x v="2"/>
    <n v="3"/>
    <n v="199.99"/>
    <x v="0"/>
    <x v="3"/>
    <x v="1"/>
    <x v="31"/>
    <n v="599.97"/>
  </r>
  <r>
    <x v="216"/>
    <x v="140"/>
    <s v="CUST017"/>
    <x v="6"/>
    <s v="P007"/>
    <x v="6"/>
    <x v="2"/>
    <n v="5"/>
    <n v="299.99"/>
    <x v="0"/>
    <x v="3"/>
    <x v="2"/>
    <x v="200"/>
    <n v="1499.95"/>
  </r>
  <r>
    <x v="217"/>
    <x v="140"/>
    <s v="CUST040"/>
    <x v="30"/>
    <s v="P002"/>
    <x v="5"/>
    <x v="0"/>
    <n v="1"/>
    <n v="699.99"/>
    <x v="2"/>
    <x v="3"/>
    <x v="0"/>
    <x v="201"/>
    <n v="699.99"/>
  </r>
  <r>
    <x v="218"/>
    <x v="141"/>
    <s v="CUST042"/>
    <x v="43"/>
    <s v="P002"/>
    <x v="5"/>
    <x v="0"/>
    <n v="1"/>
    <n v="699.99"/>
    <x v="0"/>
    <x v="2"/>
    <x v="1"/>
    <x v="145"/>
    <n v="699.99"/>
  </r>
  <r>
    <x v="219"/>
    <x v="141"/>
    <s v="CUST037"/>
    <x v="48"/>
    <s v="P008"/>
    <x v="2"/>
    <x v="2"/>
    <n v="4"/>
    <n v="149.99"/>
    <x v="2"/>
    <x v="2"/>
    <x v="1"/>
    <x v="30"/>
    <n v="599.96"/>
  </r>
  <r>
    <x v="220"/>
    <x v="141"/>
    <s v="CUST016"/>
    <x v="39"/>
    <s v="P010"/>
    <x v="8"/>
    <x v="0"/>
    <n v="5"/>
    <n v="89.99"/>
    <x v="2"/>
    <x v="3"/>
    <x v="1"/>
    <x v="202"/>
    <n v="449.95"/>
  </r>
  <r>
    <x v="221"/>
    <x v="142"/>
    <s v="CUST031"/>
    <x v="26"/>
    <s v="P006"/>
    <x v="9"/>
    <x v="2"/>
    <n v="2"/>
    <n v="199.99"/>
    <x v="0"/>
    <x v="0"/>
    <x v="1"/>
    <x v="203"/>
    <n v="399.98"/>
  </r>
  <r>
    <x v="222"/>
    <x v="143"/>
    <s v="CUST015"/>
    <x v="45"/>
    <s v="P005"/>
    <x v="1"/>
    <x v="1"/>
    <n v="4"/>
    <n v="59.99"/>
    <x v="0"/>
    <x v="3"/>
    <x v="2"/>
    <x v="204"/>
    <n v="239.96"/>
  </r>
  <r>
    <x v="223"/>
    <x v="143"/>
    <s v="CUST048"/>
    <x v="16"/>
    <s v="P007"/>
    <x v="6"/>
    <x v="2"/>
    <n v="2"/>
    <n v="299.99"/>
    <x v="2"/>
    <x v="1"/>
    <x v="0"/>
    <x v="205"/>
    <n v="599.98"/>
  </r>
  <r>
    <x v="224"/>
    <x v="144"/>
    <s v="CUST017"/>
    <x v="6"/>
    <s v="P008"/>
    <x v="2"/>
    <x v="2"/>
    <n v="2"/>
    <n v="149.99"/>
    <x v="0"/>
    <x v="0"/>
    <x v="0"/>
    <x v="32"/>
    <n v="299.98"/>
  </r>
  <r>
    <x v="225"/>
    <x v="145"/>
    <s v="CUST039"/>
    <x v="40"/>
    <s v="P002"/>
    <x v="5"/>
    <x v="0"/>
    <n v="5"/>
    <n v="699.99"/>
    <x v="3"/>
    <x v="4"/>
    <x v="1"/>
    <x v="65"/>
    <n v="3499.95"/>
  </r>
  <r>
    <x v="226"/>
    <x v="146"/>
    <s v="CUST043"/>
    <x v="11"/>
    <s v="P005"/>
    <x v="1"/>
    <x v="1"/>
    <n v="5"/>
    <n v="59.99"/>
    <x v="0"/>
    <x v="3"/>
    <x v="1"/>
    <x v="206"/>
    <n v="299.95"/>
  </r>
  <r>
    <x v="227"/>
    <x v="147"/>
    <s v="CUST023"/>
    <x v="0"/>
    <s v="P010"/>
    <x v="8"/>
    <x v="0"/>
    <n v="2"/>
    <n v="89.99"/>
    <x v="1"/>
    <x v="3"/>
    <x v="1"/>
    <x v="4"/>
    <n v="179.98"/>
  </r>
  <r>
    <x v="228"/>
    <x v="147"/>
    <s v="CUST030"/>
    <x v="22"/>
    <s v="P009"/>
    <x v="0"/>
    <x v="0"/>
    <n v="5"/>
    <n v="249.99"/>
    <x v="0"/>
    <x v="4"/>
    <x v="2"/>
    <x v="207"/>
    <n v="1249.95"/>
  </r>
  <r>
    <x v="229"/>
    <x v="148"/>
    <s v="CUST039"/>
    <x v="40"/>
    <s v="P008"/>
    <x v="2"/>
    <x v="2"/>
    <n v="2"/>
    <n v="149.99"/>
    <x v="2"/>
    <x v="0"/>
    <x v="1"/>
    <x v="208"/>
    <n v="299.98"/>
  </r>
  <r>
    <x v="230"/>
    <x v="148"/>
    <s v="CUST035"/>
    <x v="28"/>
    <s v="P001"/>
    <x v="4"/>
    <x v="0"/>
    <n v="5"/>
    <n v="899.99"/>
    <x v="2"/>
    <x v="4"/>
    <x v="1"/>
    <x v="64"/>
    <n v="4499.95"/>
  </r>
  <r>
    <x v="231"/>
    <x v="148"/>
    <s v="CUST017"/>
    <x v="6"/>
    <s v="P008"/>
    <x v="2"/>
    <x v="2"/>
    <n v="4"/>
    <n v="149.99"/>
    <x v="0"/>
    <x v="0"/>
    <x v="2"/>
    <x v="209"/>
    <n v="599.96"/>
  </r>
  <r>
    <x v="232"/>
    <x v="149"/>
    <s v="CUST035"/>
    <x v="28"/>
    <s v="P009"/>
    <x v="0"/>
    <x v="0"/>
    <n v="1"/>
    <n v="249.99"/>
    <x v="0"/>
    <x v="2"/>
    <x v="2"/>
    <x v="210"/>
    <n v="249.99"/>
  </r>
  <r>
    <x v="233"/>
    <x v="150"/>
    <s v="CUST033"/>
    <x v="37"/>
    <s v="P005"/>
    <x v="1"/>
    <x v="1"/>
    <n v="2"/>
    <n v="59.99"/>
    <x v="1"/>
    <x v="3"/>
    <x v="0"/>
    <x v="211"/>
    <n v="119.98"/>
  </r>
  <r>
    <x v="234"/>
    <x v="151"/>
    <s v="CUST002"/>
    <x v="25"/>
    <s v="P008"/>
    <x v="2"/>
    <x v="2"/>
    <n v="2"/>
    <n v="149.99"/>
    <x v="0"/>
    <x v="3"/>
    <x v="1"/>
    <x v="212"/>
    <n v="299.98"/>
  </r>
  <r>
    <x v="235"/>
    <x v="151"/>
    <s v="CUST040"/>
    <x v="30"/>
    <s v="P001"/>
    <x v="4"/>
    <x v="0"/>
    <n v="3"/>
    <n v="899.99"/>
    <x v="3"/>
    <x v="2"/>
    <x v="1"/>
    <x v="213"/>
    <n v="2699.97"/>
  </r>
  <r>
    <x v="236"/>
    <x v="151"/>
    <s v="CUST024"/>
    <x v="5"/>
    <s v="P001"/>
    <x v="4"/>
    <x v="0"/>
    <n v="3"/>
    <n v="899.99"/>
    <x v="2"/>
    <x v="2"/>
    <x v="0"/>
    <x v="214"/>
    <n v="2699.97"/>
  </r>
  <r>
    <x v="237"/>
    <x v="152"/>
    <s v="CUST023"/>
    <x v="0"/>
    <s v="P007"/>
    <x v="6"/>
    <x v="2"/>
    <n v="3"/>
    <n v="299.99"/>
    <x v="1"/>
    <x v="3"/>
    <x v="1"/>
    <x v="215"/>
    <n v="899.97"/>
  </r>
  <r>
    <x v="238"/>
    <x v="153"/>
    <s v="CUST001"/>
    <x v="49"/>
    <s v="P008"/>
    <x v="2"/>
    <x v="2"/>
    <n v="4"/>
    <n v="149.99"/>
    <x v="2"/>
    <x v="3"/>
    <x v="2"/>
    <x v="144"/>
    <n v="599.96"/>
  </r>
  <r>
    <x v="239"/>
    <x v="154"/>
    <s v="CUST044"/>
    <x v="19"/>
    <s v="P004"/>
    <x v="7"/>
    <x v="1"/>
    <n v="4"/>
    <n v="79.989999999999995"/>
    <x v="1"/>
    <x v="0"/>
    <x v="0"/>
    <x v="216"/>
    <n v="319.95999999999998"/>
  </r>
  <r>
    <x v="240"/>
    <x v="155"/>
    <s v="CUST020"/>
    <x v="36"/>
    <s v="P010"/>
    <x v="8"/>
    <x v="0"/>
    <n v="5"/>
    <n v="89.99"/>
    <x v="2"/>
    <x v="1"/>
    <x v="0"/>
    <x v="217"/>
    <n v="449.95"/>
  </r>
  <r>
    <x v="241"/>
    <x v="156"/>
    <s v="CUST048"/>
    <x v="16"/>
    <s v="P008"/>
    <x v="2"/>
    <x v="2"/>
    <n v="3"/>
    <n v="149.99"/>
    <x v="2"/>
    <x v="0"/>
    <x v="2"/>
    <x v="218"/>
    <n v="449.97"/>
  </r>
  <r>
    <x v="242"/>
    <x v="156"/>
    <s v="CUST026"/>
    <x v="8"/>
    <s v="P010"/>
    <x v="8"/>
    <x v="0"/>
    <n v="2"/>
    <n v="89.99"/>
    <x v="3"/>
    <x v="3"/>
    <x v="1"/>
    <x v="164"/>
    <n v="179.98"/>
  </r>
  <r>
    <x v="243"/>
    <x v="157"/>
    <s v="CUST044"/>
    <x v="19"/>
    <s v="P002"/>
    <x v="5"/>
    <x v="0"/>
    <n v="2"/>
    <n v="699.99"/>
    <x v="2"/>
    <x v="2"/>
    <x v="2"/>
    <x v="111"/>
    <n v="1399.98"/>
  </r>
  <r>
    <x v="244"/>
    <x v="158"/>
    <s v="CUST029"/>
    <x v="23"/>
    <s v="P001"/>
    <x v="4"/>
    <x v="0"/>
    <n v="3"/>
    <n v="899.99"/>
    <x v="0"/>
    <x v="0"/>
    <x v="2"/>
    <x v="115"/>
    <n v="2699.97"/>
  </r>
  <r>
    <x v="245"/>
    <x v="159"/>
    <s v="CUST048"/>
    <x v="16"/>
    <s v="P004"/>
    <x v="7"/>
    <x v="1"/>
    <n v="3"/>
    <n v="79.989999999999995"/>
    <x v="1"/>
    <x v="2"/>
    <x v="0"/>
    <x v="219"/>
    <n v="239.97"/>
  </r>
  <r>
    <x v="246"/>
    <x v="160"/>
    <s v="CUST009"/>
    <x v="7"/>
    <s v="P010"/>
    <x v="8"/>
    <x v="0"/>
    <n v="1"/>
    <n v="89.99"/>
    <x v="3"/>
    <x v="4"/>
    <x v="0"/>
    <x v="220"/>
    <n v="89.99"/>
  </r>
  <r>
    <x v="247"/>
    <x v="161"/>
    <s v="CUST045"/>
    <x v="46"/>
    <s v="P002"/>
    <x v="5"/>
    <x v="0"/>
    <n v="3"/>
    <n v="699.99"/>
    <x v="2"/>
    <x v="2"/>
    <x v="0"/>
    <x v="67"/>
    <n v="2099.9699999999998"/>
  </r>
  <r>
    <x v="248"/>
    <x v="161"/>
    <s v="CUST039"/>
    <x v="40"/>
    <s v="P010"/>
    <x v="8"/>
    <x v="0"/>
    <n v="2"/>
    <n v="89.99"/>
    <x v="3"/>
    <x v="4"/>
    <x v="0"/>
    <x v="221"/>
    <n v="179.98"/>
  </r>
  <r>
    <x v="249"/>
    <x v="161"/>
    <s v="CUST031"/>
    <x v="26"/>
    <s v="P010"/>
    <x v="8"/>
    <x v="0"/>
    <n v="3"/>
    <n v="89.99"/>
    <x v="3"/>
    <x v="2"/>
    <x v="1"/>
    <x v="222"/>
    <n v="269.9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CF37F-4F01-4D9F-BAC3-FA707039CD6F}" name="PivotTable9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numFmtId="164" outline="0" showAll="0"/>
    <pivotField dataField="1"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3" baseField="0" baseItem="0"/>
  </dataFields>
  <formats count="24">
    <format dxfId="65">
      <pivotArea outline="0" fieldPosition="0">
        <references count="1">
          <reference field="10" count="2" selected="0">
            <x v="0"/>
            <x v="1"/>
          </reference>
        </references>
      </pivotArea>
    </format>
    <format dxfId="66">
      <pivotArea dataOnly="0" labelOnly="1" outline="0" fieldPosition="0">
        <references count="1">
          <reference field="10" count="2">
            <x v="0"/>
            <x v="1"/>
          </reference>
        </references>
      </pivotArea>
    </format>
    <format dxfId="67">
      <pivotArea outline="0" fieldPosition="0">
        <references count="1">
          <reference field="10" count="3" selected="0">
            <x v="2"/>
            <x v="3"/>
            <x v="4"/>
          </reference>
        </references>
      </pivotArea>
    </format>
    <format dxfId="68">
      <pivotArea grandRow="1" outline="0" collapsedLevelsAreSubtotals="1" fieldPosition="0"/>
    </format>
    <format dxfId="69">
      <pivotArea dataOnly="0" labelOnly="1" outline="0" fieldPosition="0">
        <references count="1">
          <reference field="10" count="3">
            <x v="2"/>
            <x v="3"/>
            <x v="4"/>
          </reference>
        </references>
      </pivotArea>
    </format>
    <format dxfId="70">
      <pivotArea dataOnly="0" labelOnly="1" grandRow="1" outline="0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10" type="button" dataOnly="0" labelOnly="1" outline="0" axis="axisRow" fieldPosition="0"/>
    </format>
    <format dxfId="74">
      <pivotArea dataOnly="0" labelOnly="1" outline="0" fieldPosition="0">
        <references count="1">
          <reference field="10" count="0"/>
        </references>
      </pivotArea>
    </format>
    <format dxfId="75">
      <pivotArea dataOnly="0" labelOnly="1" grandRow="1" outline="0" fieldPosition="0"/>
    </format>
    <format dxfId="76">
      <pivotArea dataOnly="0" labelOnly="1" outline="0" axis="axisValues" fieldPosition="0"/>
    </format>
    <format dxfId="77">
      <pivotArea type="all" dataOnly="0" outline="0" fieldPosition="0"/>
    </format>
    <format dxfId="78">
      <pivotArea outline="0" collapsedLevelsAreSubtotals="1" fieldPosition="0"/>
    </format>
    <format dxfId="79">
      <pivotArea field="10" type="button" dataOnly="0" labelOnly="1" outline="0" axis="axisRow" fieldPosition="0"/>
    </format>
    <format dxfId="80">
      <pivotArea dataOnly="0" labelOnly="1" outline="0" fieldPosition="0">
        <references count="1">
          <reference field="10" count="0"/>
        </references>
      </pivotArea>
    </format>
    <format dxfId="81">
      <pivotArea dataOnly="0" labelOnly="1" grandRow="1" outline="0" fieldPosition="0"/>
    </format>
    <format dxfId="82">
      <pivotArea dataOnly="0" labelOnly="1" outline="0" axis="axisValues" fieldPosition="0"/>
    </format>
    <format dxfId="83">
      <pivotArea type="all" dataOnly="0" outline="0" fieldPosition="0"/>
    </format>
    <format dxfId="84">
      <pivotArea outline="0" collapsedLevelsAreSubtotals="1" fieldPosition="0"/>
    </format>
    <format dxfId="85">
      <pivotArea field="10" type="button" dataOnly="0" labelOnly="1" outline="0" axis="axisRow" fieldPosition="0"/>
    </format>
    <format dxfId="86">
      <pivotArea dataOnly="0" labelOnly="1" outline="0" fieldPosition="0">
        <references count="1">
          <reference field="10" count="0"/>
        </references>
      </pivotArea>
    </format>
    <format dxfId="87">
      <pivotArea dataOnly="0" labelOnly="1" grandRow="1" outline="0" fieldPosition="0"/>
    </format>
    <format dxfId="8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91F30-2682-4334-B09C-617825C932C6}" name="PivotTable2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2:B16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formats count="20"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6" type="button" dataOnly="0" labelOnly="1" outline="0" axis="axisRow" fieldPosition="0"/>
    </format>
    <format dxfId="48">
      <pivotArea dataOnly="0" labelOnly="1" outline="0" fieldPosition="0">
        <references count="1">
          <reference field="6" count="0"/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6" type="button" dataOnly="0" labelOnly="1" outline="0" axis="axisRow" fieldPosition="0"/>
    </format>
    <format dxfId="54">
      <pivotArea dataOnly="0" labelOnly="1" outline="0" fieldPosition="0">
        <references count="1">
          <reference field="6" count="0"/>
        </references>
      </pivotArea>
    </format>
    <format dxfId="55">
      <pivotArea dataOnly="0" labelOnly="1" grandRow="1" outline="0" fieldPosition="0"/>
    </format>
    <format dxfId="56">
      <pivotArea dataOnly="0" labelOnly="1" outline="0" axis="axisValues" fieldPosition="0"/>
    </format>
    <format dxfId="57">
      <pivotArea field="6" type="button" dataOnly="0" labelOnly="1" outline="0" axis="axisRow" fieldPosition="0"/>
    </format>
    <format dxfId="58">
      <pivotArea dataOnly="0" labelOnly="1" outline="0" axis="axisValues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6" type="button" dataOnly="0" labelOnly="1" outline="0" axis="axisRow" fieldPosition="0"/>
    </format>
    <format dxfId="62">
      <pivotArea dataOnly="0" labelOnly="1" outline="0" fieldPosition="0">
        <references count="1">
          <reference field="6" count="0"/>
        </references>
      </pivotArea>
    </format>
    <format dxfId="63">
      <pivotArea dataOnly="0" labelOnly="1" grandRow="1" outline="0" fieldPosition="0"/>
    </format>
    <format dxfId="6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891E8-6255-4AB7-927E-904D1AE7A5B0}" name="PivotTable4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9:B182" firstHeaderRow="1" firstDataRow="1" firstDataCol="1"/>
  <pivotFields count="14">
    <pivotField compact="0" outline="0" showAll="0"/>
    <pivotField axis="axisRow" compact="0" numFmtId="164" outline="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</pivotFields>
  <rowFields count="1">
    <field x="1"/>
  </rowFields>
  <rowItems count="1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 t="grand">
      <x/>
    </i>
  </rowItems>
  <colItems count="1">
    <i/>
  </colItems>
  <dataFields count="1">
    <dataField name="Sum of Total_Amount" fld="13" baseField="0" baseItem="0"/>
  </dataFields>
  <formats count="27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" type="button" dataOnly="0" labelOnly="1" outline="0" axis="axisRow" fieldPosition="0"/>
    </format>
    <format dxfId="21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4">
      <pivotArea dataOnly="0" labelOnly="1" outline="0" fieldPosition="0">
        <references count="1">
          <reference field="1" count="1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</reference>
        </references>
      </pivotArea>
    </format>
    <format dxfId="25">
      <pivotArea dataOnly="0" labelOnly="1" grandRow="1" outline="0" fieldPosition="0"/>
    </format>
    <format dxfId="26">
      <pivotArea dataOnly="0" labelOnly="1" outline="0" axis="axisValues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1" type="button" dataOnly="0" labelOnly="1" outline="0" axis="axisRow" fieldPosition="0"/>
    </format>
    <format dxfId="30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1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2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3">
      <pivotArea dataOnly="0" labelOnly="1" outline="0" fieldPosition="0">
        <references count="1">
          <reference field="1" count="1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</reference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1" type="button" dataOnly="0" labelOnly="1" outline="0" axis="axisRow" fieldPosition="0"/>
    </format>
    <format dxfId="39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0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1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2">
      <pivotArea dataOnly="0" labelOnly="1" outline="0" fieldPosition="0">
        <references count="1">
          <reference field="1" count="1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</reference>
        </references>
      </pivotArea>
    </format>
    <format dxfId="43">
      <pivotArea dataOnly="0" labelOnly="1" grandRow="1" outline="0" fieldPosition="0"/>
    </format>
    <format dxfId="44">
      <pivotArea dataOnly="0" labelOnly="1" outline="0" axis="axisValues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5A146-4018-4569-A738-5FCF8953AF50}" name="PivotTable3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Amount" fld="13" baseField="0" baseItem="0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5" type="button" dataOnly="0" labelOnly="1" outline="0" axis="axisRow" fieldPosition="0"/>
    </format>
    <format dxfId="15">
      <pivotArea dataOnly="0" labelOnly="1" outline="0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A8A3E-1192-4AD3-A2FA-9BCDC595BA6F}" name="PivotTable1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numFmtId="164" outline="0" showAll="0"/>
    <pivotField dataField="1"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3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10" type="button" dataOnly="0" labelOnly="1" outline="0" axis="axisRow" fieldPosition="0"/>
    </format>
    <format dxfId="9">
      <pivotArea dataOnly="0" labelOnly="1" outline="0" fieldPosition="0">
        <references count="1">
          <reference field="10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5ED73-B61D-4468-B7F7-B4F1EC502701}" name="PivotTable2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64" outline="0" showAll="0"/>
    <pivotField dataField="1"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 axis="axisRow" fieldPosition="0"/>
    </format>
    <format dxfId="3">
      <pivotArea dataOnly="0" labelOnly="1" outline="0" fieldPosition="0">
        <references count="1">
          <reference field="1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A6B5A-F7BE-4153-A5E6-11F1A6FCA84E}" name="PivotTable3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numFmtId="164" outline="0" showAll="0"/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gion" fld="1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51A78-8221-4A39-BE01-4A6E595292AB}" name="PivotTable5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4" firstHeaderRow="0" firstDataRow="1" firstDataCol="0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Unit_Price" fld="8" baseField="0" baseItem="0"/>
    <dataField name="Sum of Total_Amount" fld="13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19D54-3C91-4805-BF51-89B4954CEFED}" name="PivotTable6" cacheId="1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7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6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980C-93A0-458B-96D2-E85F86D17D31}">
  <dimension ref="A1:BT296"/>
  <sheetViews>
    <sheetView showGridLines="0" tabSelected="1" topLeftCell="A165" workbookViewId="0">
      <selection activeCell="A19" sqref="A19:B182"/>
    </sheetView>
  </sheetViews>
  <sheetFormatPr defaultRowHeight="15"/>
  <cols>
    <col min="1" max="1" width="12" bestFit="1" customWidth="1"/>
    <col min="2" max="2" width="20.42578125" bestFit="1" customWidth="1"/>
    <col min="3" max="3" width="16.85546875" bestFit="1" customWidth="1"/>
  </cols>
  <sheetData>
    <row r="1" spans="1:72">
      <c r="A1" s="22"/>
      <c r="B1" s="22"/>
      <c r="C1" s="23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</row>
    <row r="2" spans="1:72">
      <c r="A2" s="22"/>
      <c r="B2" s="22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</row>
    <row r="3" spans="1:72">
      <c r="A3" s="26" t="s">
        <v>1</v>
      </c>
      <c r="B3" s="26" t="s">
        <v>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</row>
    <row r="4" spans="1:72">
      <c r="A4" s="26" t="s">
        <v>3</v>
      </c>
      <c r="B4" s="27">
        <v>41288.340000000018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</row>
    <row r="5" spans="1:72">
      <c r="A5" s="26" t="s">
        <v>4</v>
      </c>
      <c r="B5" s="27">
        <v>59288.389999999992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</row>
    <row r="6" spans="1:72">
      <c r="A6" s="28" t="s">
        <v>5</v>
      </c>
      <c r="B6" s="29">
        <v>50808.310000000012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</row>
    <row r="7" spans="1:72">
      <c r="A7" s="28" t="s">
        <v>6</v>
      </c>
      <c r="B7" s="29">
        <v>36398.750000000007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</row>
    <row r="8" spans="1:72">
      <c r="A8" s="28" t="s">
        <v>7</v>
      </c>
      <c r="B8" s="29">
        <v>41408.680000000015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</row>
    <row r="9" spans="1:72">
      <c r="A9" s="28" t="s">
        <v>8</v>
      </c>
      <c r="B9" s="29">
        <v>229192.47000000006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</row>
    <row r="10" spans="1:7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</row>
    <row r="11" spans="1:7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</row>
    <row r="12" spans="1:72">
      <c r="A12" s="30" t="s">
        <v>9</v>
      </c>
      <c r="B12" s="30" t="s">
        <v>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</row>
    <row r="13" spans="1:72">
      <c r="A13" s="28" t="s">
        <v>10</v>
      </c>
      <c r="B13" s="29">
        <v>8338.7399999999961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</row>
    <row r="14" spans="1:72">
      <c r="A14" s="28" t="s">
        <v>11</v>
      </c>
      <c r="B14" s="29">
        <v>171756.05000000013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</row>
    <row r="15" spans="1:72">
      <c r="A15" s="28" t="s">
        <v>12</v>
      </c>
      <c r="B15" s="29">
        <v>49097.680000000015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</row>
    <row r="16" spans="1:72">
      <c r="A16" s="28" t="s">
        <v>8</v>
      </c>
      <c r="B16" s="29">
        <v>229192.47000000015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</row>
    <row r="17" spans="1:7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</row>
    <row r="18" spans="1:7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</row>
    <row r="19" spans="1:72">
      <c r="A19" s="28" t="s">
        <v>13</v>
      </c>
      <c r="B19" s="28" t="s">
        <v>2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</row>
    <row r="20" spans="1:72">
      <c r="A20" s="31">
        <v>45393</v>
      </c>
      <c r="B20" s="29">
        <v>749.97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</row>
    <row r="21" spans="1:72">
      <c r="A21" s="31">
        <v>45396</v>
      </c>
      <c r="B21" s="29">
        <v>749.97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</row>
    <row r="22" spans="1:72">
      <c r="A22" s="31">
        <v>45399</v>
      </c>
      <c r="B22" s="29">
        <v>179.97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</row>
    <row r="23" spans="1:72">
      <c r="A23" s="31">
        <v>45400</v>
      </c>
      <c r="B23" s="29">
        <v>929.92000000000007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</row>
    <row r="24" spans="1:72">
      <c r="A24" s="31">
        <v>45403</v>
      </c>
      <c r="B24" s="29">
        <v>1049.9000000000001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</row>
    <row r="25" spans="1:72">
      <c r="A25" s="31">
        <v>45405</v>
      </c>
      <c r="B25" s="29">
        <v>2699.97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</row>
    <row r="26" spans="1:72">
      <c r="A26" s="31">
        <v>45408</v>
      </c>
      <c r="B26" s="29">
        <v>1529.88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</row>
    <row r="27" spans="1:72">
      <c r="A27" s="31">
        <v>45409</v>
      </c>
      <c r="B27" s="29">
        <v>3179.9299999999994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</row>
    <row r="28" spans="1:72">
      <c r="A28" s="31">
        <v>45410</v>
      </c>
      <c r="B28" s="29">
        <v>6349.87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</row>
    <row r="29" spans="1:72">
      <c r="A29" s="31">
        <v>45412</v>
      </c>
      <c r="B29" s="29">
        <v>3499.95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</row>
    <row r="30" spans="1:72">
      <c r="A30" s="31">
        <v>45413</v>
      </c>
      <c r="B30" s="29">
        <v>2799.96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</row>
    <row r="31" spans="1:72">
      <c r="A31" s="31">
        <v>45415</v>
      </c>
      <c r="B31" s="29">
        <v>999.96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</row>
    <row r="32" spans="1:72">
      <c r="A32" s="31">
        <v>45416</v>
      </c>
      <c r="B32" s="29">
        <v>1199.96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</row>
    <row r="33" spans="1:72">
      <c r="A33" s="31">
        <v>45422</v>
      </c>
      <c r="B33" s="29">
        <v>1249.95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</row>
    <row r="34" spans="1:72">
      <c r="A34" s="31">
        <v>45424</v>
      </c>
      <c r="B34" s="29">
        <v>2189.87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</row>
    <row r="35" spans="1:72">
      <c r="A35" s="31">
        <v>45425</v>
      </c>
      <c r="B35" s="29">
        <v>119.98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</row>
    <row r="36" spans="1:72">
      <c r="A36" s="31">
        <v>45427</v>
      </c>
      <c r="B36" s="29">
        <v>1239.9100000000001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</row>
    <row r="37" spans="1:72">
      <c r="A37" s="31">
        <v>45428</v>
      </c>
      <c r="B37" s="29">
        <v>299.98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</row>
    <row r="38" spans="1:72">
      <c r="A38" s="31">
        <v>45430</v>
      </c>
      <c r="B38" s="29">
        <v>449.97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</row>
    <row r="39" spans="1:72">
      <c r="A39" s="31">
        <v>45432</v>
      </c>
      <c r="B39" s="29">
        <v>899.99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</row>
    <row r="40" spans="1:72">
      <c r="A40" s="31">
        <v>45434</v>
      </c>
      <c r="B40" s="29">
        <v>899.97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</row>
    <row r="41" spans="1:72">
      <c r="A41" s="31">
        <v>45435</v>
      </c>
      <c r="B41" s="29">
        <v>239.97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</row>
    <row r="42" spans="1:72">
      <c r="A42" s="31">
        <v>45438</v>
      </c>
      <c r="B42" s="29">
        <v>599.97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</row>
    <row r="43" spans="1:72">
      <c r="A43" s="31">
        <v>45440</v>
      </c>
      <c r="B43" s="29">
        <v>3499.95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</row>
    <row r="44" spans="1:72">
      <c r="A44" s="31">
        <v>45441</v>
      </c>
      <c r="B44" s="29">
        <v>269.97000000000003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</row>
    <row r="45" spans="1:72">
      <c r="A45" s="31">
        <v>45443</v>
      </c>
      <c r="B45" s="29">
        <v>79.989999999999995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</row>
    <row r="46" spans="1:72">
      <c r="A46" s="31">
        <v>45444</v>
      </c>
      <c r="B46" s="29">
        <v>209.97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</row>
    <row r="47" spans="1:72">
      <c r="A47" s="31">
        <v>45446</v>
      </c>
      <c r="B47" s="29">
        <v>449.95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</row>
    <row r="48" spans="1:72">
      <c r="A48" s="31">
        <v>45449</v>
      </c>
      <c r="B48" s="29">
        <v>1339.94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</row>
    <row r="49" spans="1:72">
      <c r="A49" s="31">
        <v>45450</v>
      </c>
      <c r="B49" s="29">
        <v>299.98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</row>
    <row r="50" spans="1:72">
      <c r="A50" s="31">
        <v>45452</v>
      </c>
      <c r="B50" s="29">
        <v>239.96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</row>
    <row r="51" spans="1:72">
      <c r="A51" s="31">
        <v>45456</v>
      </c>
      <c r="B51" s="29">
        <v>449.95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</row>
    <row r="52" spans="1:72">
      <c r="A52" s="31">
        <v>45459</v>
      </c>
      <c r="B52" s="29">
        <v>9179.8799999999992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</row>
    <row r="53" spans="1:72">
      <c r="A53" s="31">
        <v>45460</v>
      </c>
      <c r="B53" s="29">
        <v>659.97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</row>
    <row r="54" spans="1:72">
      <c r="A54" s="31">
        <v>45468</v>
      </c>
      <c r="B54" s="29">
        <v>359.96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</row>
    <row r="55" spans="1:72">
      <c r="A55" s="31">
        <v>45469</v>
      </c>
      <c r="B55" s="29">
        <v>259.96999999999997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</row>
    <row r="56" spans="1:72">
      <c r="A56" s="31">
        <v>45471</v>
      </c>
      <c r="B56" s="29">
        <v>5699.93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</row>
    <row r="57" spans="1:72">
      <c r="A57" s="31">
        <v>45472</v>
      </c>
      <c r="B57" s="29">
        <v>149.99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</row>
    <row r="58" spans="1:72">
      <c r="A58" s="31">
        <v>45474</v>
      </c>
      <c r="B58" s="29">
        <v>179.98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</row>
    <row r="59" spans="1:72">
      <c r="A59" s="31">
        <v>45475</v>
      </c>
      <c r="B59" s="29">
        <v>89.99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</row>
    <row r="60" spans="1:72">
      <c r="A60" s="31">
        <v>45476</v>
      </c>
      <c r="B60" s="29">
        <v>489.94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</row>
    <row r="61" spans="1:72">
      <c r="A61" s="31">
        <v>45481</v>
      </c>
      <c r="B61" s="29">
        <v>1999.92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</row>
    <row r="62" spans="1:72">
      <c r="A62" s="31">
        <v>45482</v>
      </c>
      <c r="B62" s="29">
        <v>239.96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</row>
    <row r="63" spans="1:72">
      <c r="A63" s="31">
        <v>45484</v>
      </c>
      <c r="B63" s="29">
        <v>449.98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</row>
    <row r="64" spans="1:72">
      <c r="A64" s="31">
        <v>45487</v>
      </c>
      <c r="B64" s="29">
        <v>399.98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</row>
    <row r="65" spans="1:72">
      <c r="A65" s="31">
        <v>45490</v>
      </c>
      <c r="B65" s="29">
        <v>629.94000000000005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</row>
    <row r="66" spans="1:72">
      <c r="A66" s="31">
        <v>45491</v>
      </c>
      <c r="B66" s="29">
        <v>599.97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</row>
    <row r="67" spans="1:72">
      <c r="A67" s="31">
        <v>45496</v>
      </c>
      <c r="B67" s="29">
        <v>899.99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</row>
    <row r="68" spans="1:72">
      <c r="A68" s="31">
        <v>45497</v>
      </c>
      <c r="B68" s="29">
        <v>4499.95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</row>
    <row r="69" spans="1:72">
      <c r="A69" s="31">
        <v>45498</v>
      </c>
      <c r="B69" s="29">
        <v>1119.94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</row>
    <row r="70" spans="1:72">
      <c r="A70" s="31">
        <v>45500</v>
      </c>
      <c r="B70" s="29">
        <v>799.97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</row>
    <row r="71" spans="1:72">
      <c r="A71" s="31">
        <v>45501</v>
      </c>
      <c r="B71" s="29">
        <v>1079.95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</row>
    <row r="72" spans="1:72">
      <c r="A72" s="31">
        <v>45503</v>
      </c>
      <c r="B72" s="29">
        <v>1399.98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</row>
    <row r="73" spans="1:72">
      <c r="A73" s="31">
        <v>45504</v>
      </c>
      <c r="B73" s="29">
        <v>3599.96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</row>
    <row r="74" spans="1:72">
      <c r="A74" s="31">
        <v>45509</v>
      </c>
      <c r="B74" s="29">
        <v>299.98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</row>
    <row r="75" spans="1:72">
      <c r="A75" s="31">
        <v>45510</v>
      </c>
      <c r="B75" s="29">
        <v>299.98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</row>
    <row r="76" spans="1:72">
      <c r="A76" s="31">
        <v>45513</v>
      </c>
      <c r="B76" s="29">
        <v>89.99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</row>
    <row r="77" spans="1:72">
      <c r="A77" s="31">
        <v>45515</v>
      </c>
      <c r="B77" s="29">
        <v>1499.95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</row>
    <row r="78" spans="1:72">
      <c r="A78" s="31">
        <v>45517</v>
      </c>
      <c r="B78" s="29">
        <v>3399.84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</row>
    <row r="79" spans="1:72">
      <c r="A79" s="31">
        <v>45519</v>
      </c>
      <c r="B79" s="29">
        <v>999.95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</row>
    <row r="80" spans="1:72">
      <c r="A80" s="31">
        <v>45522</v>
      </c>
      <c r="B80" s="29">
        <v>179.98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</row>
    <row r="81" spans="1:72">
      <c r="A81" s="31">
        <v>45523</v>
      </c>
      <c r="B81" s="29">
        <v>4949.92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</row>
    <row r="82" spans="1:72">
      <c r="A82" s="31">
        <v>45526</v>
      </c>
      <c r="B82" s="29">
        <v>749.95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</row>
    <row r="83" spans="1:72">
      <c r="A83" s="31">
        <v>45528</v>
      </c>
      <c r="B83" s="29">
        <v>739.95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</row>
    <row r="84" spans="1:72">
      <c r="A84" s="31">
        <v>45532</v>
      </c>
      <c r="B84" s="29">
        <v>1149.96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</row>
    <row r="85" spans="1:72">
      <c r="A85" s="31">
        <v>45534</v>
      </c>
      <c r="B85" s="29">
        <v>1399.98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</row>
    <row r="86" spans="1:72">
      <c r="A86" s="31">
        <v>45537</v>
      </c>
      <c r="B86" s="29">
        <v>499.98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</row>
    <row r="87" spans="1:72">
      <c r="A87" s="31">
        <v>45538</v>
      </c>
      <c r="B87" s="29">
        <v>1399.98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</row>
    <row r="88" spans="1:72">
      <c r="A88" s="31">
        <v>45541</v>
      </c>
      <c r="B88" s="29">
        <v>179.97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</row>
    <row r="89" spans="1:72">
      <c r="A89" s="31">
        <v>45544</v>
      </c>
      <c r="B89" s="29">
        <v>499.92999999999995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</row>
    <row r="90" spans="1:72">
      <c r="A90" s="31">
        <v>45545</v>
      </c>
      <c r="B90" s="29">
        <v>79.989999999999995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</row>
    <row r="91" spans="1:72">
      <c r="A91" s="31">
        <v>45547</v>
      </c>
      <c r="B91" s="29">
        <v>899.97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</row>
    <row r="92" spans="1:72">
      <c r="A92" s="31">
        <v>45548</v>
      </c>
      <c r="B92" s="29">
        <v>179.98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</row>
    <row r="93" spans="1:72">
      <c r="A93" s="31">
        <v>45550</v>
      </c>
      <c r="B93" s="29">
        <v>599.96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</row>
    <row r="94" spans="1:72">
      <c r="A94" s="31">
        <v>45551</v>
      </c>
      <c r="B94" s="29">
        <v>1299.94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</row>
    <row r="95" spans="1:72">
      <c r="A95" s="31">
        <v>45554</v>
      </c>
      <c r="B95" s="29">
        <v>3399.9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</row>
    <row r="96" spans="1:72">
      <c r="A96" s="31">
        <v>45559</v>
      </c>
      <c r="B96" s="29">
        <v>2699.97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</row>
    <row r="97" spans="1:72">
      <c r="A97" s="31">
        <v>45560</v>
      </c>
      <c r="B97" s="29">
        <v>449.97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</row>
    <row r="98" spans="1:72">
      <c r="A98" s="31">
        <v>45563</v>
      </c>
      <c r="B98" s="29">
        <v>599.98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</row>
    <row r="99" spans="1:72">
      <c r="A99" s="31">
        <v>45564</v>
      </c>
      <c r="B99" s="29">
        <v>199.99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</row>
    <row r="100" spans="1:72">
      <c r="A100" s="31">
        <v>45566</v>
      </c>
      <c r="B100" s="29">
        <v>1199.96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</row>
    <row r="101" spans="1:72">
      <c r="A101" s="31">
        <v>45572</v>
      </c>
      <c r="B101" s="29">
        <v>719.94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</row>
    <row r="102" spans="1:72">
      <c r="A102" s="31">
        <v>45573</v>
      </c>
      <c r="B102" s="29">
        <v>1849.95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</row>
    <row r="103" spans="1:72">
      <c r="A103" s="31">
        <v>45576</v>
      </c>
      <c r="B103" s="29">
        <v>899.97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</row>
    <row r="104" spans="1:72">
      <c r="A104" s="31">
        <v>45579</v>
      </c>
      <c r="B104" s="29">
        <v>2699.97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</row>
    <row r="105" spans="1:72">
      <c r="A105" s="31">
        <v>45581</v>
      </c>
      <c r="B105" s="29">
        <v>7199.9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</row>
    <row r="106" spans="1:72">
      <c r="A106" s="31">
        <v>45583</v>
      </c>
      <c r="B106" s="29">
        <v>299.98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</row>
    <row r="107" spans="1:72">
      <c r="A107" s="31">
        <v>45586</v>
      </c>
      <c r="B107" s="29">
        <v>269.97000000000003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</row>
    <row r="108" spans="1:72">
      <c r="A108" s="31">
        <v>45588</v>
      </c>
      <c r="B108" s="29">
        <v>1699.96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</row>
    <row r="109" spans="1:72">
      <c r="A109" s="31">
        <v>45589</v>
      </c>
      <c r="B109" s="29">
        <v>3499.95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</row>
    <row r="110" spans="1:72">
      <c r="A110" s="31">
        <v>45592</v>
      </c>
      <c r="B110" s="29">
        <v>269.97000000000003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</row>
    <row r="111" spans="1:72">
      <c r="A111" s="31">
        <v>45597</v>
      </c>
      <c r="B111" s="29">
        <v>1249.95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</row>
    <row r="112" spans="1:72">
      <c r="A112" s="31">
        <v>45600</v>
      </c>
      <c r="B112" s="29">
        <v>899.97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</row>
    <row r="113" spans="1:72">
      <c r="A113" s="31">
        <v>45603</v>
      </c>
      <c r="B113" s="29">
        <v>269.97000000000003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</row>
    <row r="114" spans="1:72">
      <c r="A114" s="31">
        <v>45604</v>
      </c>
      <c r="B114" s="29">
        <v>299.98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</row>
    <row r="115" spans="1:72">
      <c r="A115" s="31">
        <v>45605</v>
      </c>
      <c r="B115" s="29">
        <v>249.99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</row>
    <row r="116" spans="1:72">
      <c r="A116" s="31">
        <v>45607</v>
      </c>
      <c r="B116" s="29">
        <v>1749.88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</row>
    <row r="117" spans="1:72">
      <c r="A117" s="31">
        <v>45608</v>
      </c>
      <c r="B117" s="29">
        <v>929.92000000000007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</row>
    <row r="118" spans="1:72">
      <c r="A118" s="31">
        <v>45613</v>
      </c>
      <c r="B118" s="29">
        <v>2149.9300000000003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</row>
    <row r="119" spans="1:72">
      <c r="A119" s="31">
        <v>45617</v>
      </c>
      <c r="B119" s="29">
        <v>799.96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</row>
    <row r="120" spans="1:72">
      <c r="A120" s="31">
        <v>45619</v>
      </c>
      <c r="B120" s="29">
        <v>2159.9599999999996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</row>
    <row r="121" spans="1:72">
      <c r="A121" s="31">
        <v>45622</v>
      </c>
      <c r="B121" s="29">
        <v>1249.95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</row>
    <row r="122" spans="1:72">
      <c r="A122" s="31">
        <v>45623</v>
      </c>
      <c r="B122" s="29">
        <v>299.98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</row>
    <row r="123" spans="1:72">
      <c r="A123" s="31">
        <v>45627</v>
      </c>
      <c r="B123" s="29">
        <v>5949.85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</row>
    <row r="124" spans="1:72">
      <c r="A124" s="31">
        <v>45629</v>
      </c>
      <c r="B124" s="29">
        <v>999.96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</row>
    <row r="125" spans="1:72">
      <c r="A125" s="31">
        <v>45630</v>
      </c>
      <c r="B125" s="29">
        <v>2799.96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</row>
    <row r="126" spans="1:72">
      <c r="A126" s="31">
        <v>45635</v>
      </c>
      <c r="B126" s="29">
        <v>999.91000000000008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</row>
    <row r="127" spans="1:72">
      <c r="A127" s="31">
        <v>45636</v>
      </c>
      <c r="B127" s="29">
        <v>239.97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</row>
    <row r="128" spans="1:72">
      <c r="A128" s="31">
        <v>45638</v>
      </c>
      <c r="B128" s="29">
        <v>1799.98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</row>
    <row r="129" spans="1:72">
      <c r="A129" s="31">
        <v>45641</v>
      </c>
      <c r="B129" s="29">
        <v>749.97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</row>
    <row r="130" spans="1:72">
      <c r="A130" s="31">
        <v>45644</v>
      </c>
      <c r="B130" s="29">
        <v>119.98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</row>
    <row r="131" spans="1:72">
      <c r="A131" s="31">
        <v>45645</v>
      </c>
      <c r="B131" s="29">
        <v>4589.9399999999996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</row>
    <row r="132" spans="1:72">
      <c r="A132" s="31">
        <v>45646</v>
      </c>
      <c r="B132" s="29">
        <v>299.98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</row>
    <row r="133" spans="1:72">
      <c r="A133" s="31">
        <v>45648</v>
      </c>
      <c r="B133" s="29">
        <v>749.95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</row>
    <row r="134" spans="1:72">
      <c r="A134" s="31">
        <v>45649</v>
      </c>
      <c r="B134" s="29">
        <v>599.98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</row>
    <row r="135" spans="1:72">
      <c r="A135" s="31">
        <v>45654</v>
      </c>
      <c r="B135" s="29">
        <v>1399.94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</row>
    <row r="136" spans="1:72">
      <c r="A136" s="31">
        <v>45655</v>
      </c>
      <c r="B136" s="29">
        <v>839.94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</row>
    <row r="137" spans="1:72">
      <c r="A137" s="31">
        <v>45657</v>
      </c>
      <c r="B137" s="29">
        <v>899.99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</row>
    <row r="138" spans="1:72">
      <c r="A138" s="31">
        <v>45660</v>
      </c>
      <c r="B138" s="29">
        <v>179.98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</row>
    <row r="139" spans="1:72">
      <c r="A139" s="31">
        <v>45661</v>
      </c>
      <c r="B139" s="29">
        <v>899.99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</row>
    <row r="140" spans="1:72">
      <c r="A140" s="31">
        <v>45663</v>
      </c>
      <c r="B140" s="29">
        <v>1649.92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</row>
    <row r="141" spans="1:72">
      <c r="A141" s="31">
        <v>45666</v>
      </c>
      <c r="B141" s="29">
        <v>2099.9699999999998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</row>
    <row r="142" spans="1:72">
      <c r="A142" s="31">
        <v>45667</v>
      </c>
      <c r="B142" s="29">
        <v>2249.9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</row>
    <row r="143" spans="1:72">
      <c r="A143" s="31">
        <v>45668</v>
      </c>
      <c r="B143" s="29">
        <v>2699.93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</row>
    <row r="144" spans="1:72">
      <c r="A144" s="31">
        <v>45670</v>
      </c>
      <c r="B144" s="29">
        <v>379.98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</row>
    <row r="145" spans="1:72">
      <c r="A145" s="31">
        <v>45671</v>
      </c>
      <c r="B145" s="29">
        <v>2199.91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</row>
    <row r="146" spans="1:72">
      <c r="A146" s="31">
        <v>45673</v>
      </c>
      <c r="B146" s="29">
        <v>2749.88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</row>
    <row r="147" spans="1:72">
      <c r="A147" s="31">
        <v>45676</v>
      </c>
      <c r="B147" s="29">
        <v>299.95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</row>
    <row r="148" spans="1:72">
      <c r="A148" s="31">
        <v>45682</v>
      </c>
      <c r="B148" s="29">
        <v>239.96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</row>
    <row r="149" spans="1:72">
      <c r="A149" s="31">
        <v>45683</v>
      </c>
      <c r="B149" s="29">
        <v>999.96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</row>
    <row r="150" spans="1:72">
      <c r="A150" s="31">
        <v>45686</v>
      </c>
      <c r="B150" s="29">
        <v>5899.91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</row>
    <row r="151" spans="1:72">
      <c r="A151" s="31">
        <v>45688</v>
      </c>
      <c r="B151" s="29">
        <v>3249.91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</row>
    <row r="152" spans="1:72">
      <c r="A152" s="31">
        <v>45692</v>
      </c>
      <c r="B152" s="29">
        <v>59.99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</row>
    <row r="153" spans="1:72">
      <c r="A153" s="31">
        <v>45695</v>
      </c>
      <c r="B153" s="29">
        <v>1949.92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</row>
    <row r="154" spans="1:72">
      <c r="A154" s="31">
        <v>45696</v>
      </c>
      <c r="B154" s="29">
        <v>299.95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</row>
    <row r="155" spans="1:72">
      <c r="A155" s="31">
        <v>45701</v>
      </c>
      <c r="B155" s="29">
        <v>239.97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</row>
    <row r="156" spans="1:72">
      <c r="A156" s="31">
        <v>45704</v>
      </c>
      <c r="B156" s="29">
        <v>779.95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</row>
    <row r="157" spans="1:72">
      <c r="A157" s="31">
        <v>45705</v>
      </c>
      <c r="B157" s="29">
        <v>299.98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</row>
    <row r="158" spans="1:72">
      <c r="A158" s="31">
        <v>45707</v>
      </c>
      <c r="B158" s="29">
        <v>3949.92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</row>
    <row r="159" spans="1:72">
      <c r="A159" s="31">
        <v>45708</v>
      </c>
      <c r="B159" s="29">
        <v>3299.9399999999996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</row>
    <row r="160" spans="1:72">
      <c r="A160" s="31">
        <v>45710</v>
      </c>
      <c r="B160" s="29">
        <v>2199.94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</row>
    <row r="161" spans="1:72">
      <c r="A161" s="31">
        <v>45711</v>
      </c>
      <c r="B161" s="29">
        <v>1749.9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</row>
    <row r="162" spans="1:72">
      <c r="A162" s="31">
        <v>45712</v>
      </c>
      <c r="B162" s="29">
        <v>399.98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</row>
    <row r="163" spans="1:72">
      <c r="A163" s="31">
        <v>45715</v>
      </c>
      <c r="B163" s="29">
        <v>839.94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</row>
    <row r="164" spans="1:72">
      <c r="A164" s="31">
        <v>45718</v>
      </c>
      <c r="B164" s="29">
        <v>299.98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</row>
    <row r="165" spans="1:72">
      <c r="A165" s="31">
        <v>45720</v>
      </c>
      <c r="B165" s="29">
        <v>3499.95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</row>
    <row r="166" spans="1:72">
      <c r="A166" s="31">
        <v>45721</v>
      </c>
      <c r="B166" s="29">
        <v>299.95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</row>
    <row r="167" spans="1:72">
      <c r="A167" s="31">
        <v>45723</v>
      </c>
      <c r="B167" s="29">
        <v>1429.93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</row>
    <row r="168" spans="1:72">
      <c r="A168" s="31">
        <v>45724</v>
      </c>
      <c r="B168" s="29">
        <v>5399.89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</row>
    <row r="169" spans="1:72">
      <c r="A169" s="31">
        <v>45726</v>
      </c>
      <c r="B169" s="29">
        <v>249.99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</row>
    <row r="170" spans="1:72">
      <c r="A170" s="31">
        <v>45734</v>
      </c>
      <c r="B170" s="29">
        <v>119.98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</row>
    <row r="171" spans="1:72">
      <c r="A171" s="31">
        <v>45737</v>
      </c>
      <c r="B171" s="29">
        <v>5699.92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</row>
    <row r="172" spans="1:72">
      <c r="A172" s="31">
        <v>45739</v>
      </c>
      <c r="B172" s="29">
        <v>899.97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</row>
    <row r="173" spans="1:72">
      <c r="A173" s="31">
        <v>45740</v>
      </c>
      <c r="B173" s="29">
        <v>599.96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</row>
    <row r="174" spans="1:72">
      <c r="A174" s="31">
        <v>45743</v>
      </c>
      <c r="B174" s="29">
        <v>319.95999999999998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</row>
    <row r="175" spans="1:72">
      <c r="A175" s="31">
        <v>45745</v>
      </c>
      <c r="B175" s="29">
        <v>449.95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</row>
    <row r="176" spans="1:72">
      <c r="A176" s="31">
        <v>45746</v>
      </c>
      <c r="B176" s="29">
        <v>629.95000000000005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</row>
    <row r="177" spans="1:72">
      <c r="A177" s="31">
        <v>45748</v>
      </c>
      <c r="B177" s="29">
        <v>1399.98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</row>
    <row r="178" spans="1:72">
      <c r="A178" s="31">
        <v>45749</v>
      </c>
      <c r="B178" s="29">
        <v>2699.97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</row>
    <row r="179" spans="1:72">
      <c r="A179" s="31">
        <v>45755</v>
      </c>
      <c r="B179" s="29">
        <v>239.97</v>
      </c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</row>
    <row r="180" spans="1:72">
      <c r="A180" s="31">
        <v>45756</v>
      </c>
      <c r="B180" s="29">
        <v>89.99</v>
      </c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</row>
    <row r="181" spans="1:72">
      <c r="A181" s="31">
        <v>45758</v>
      </c>
      <c r="B181" s="29">
        <v>2549.92</v>
      </c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</row>
    <row r="182" spans="1:72">
      <c r="A182" s="31" t="s">
        <v>8</v>
      </c>
      <c r="B182" s="29">
        <v>229192.4700000002</v>
      </c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</row>
    <row r="183" spans="1:7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</row>
    <row r="184" spans="1:7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</row>
    <row r="185" spans="1:7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</row>
    <row r="186" spans="1:7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7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1:7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1:7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1:7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1:7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1:7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1: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1: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1: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1: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1: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1: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1: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1: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1: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1: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1: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1: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1: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1: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1: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1: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1: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1: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1: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1: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1: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1: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1: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1: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1: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1: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1: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1: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1: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1: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1: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1: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1: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1: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1: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1: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1: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1: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1: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1: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1: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1: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1: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1: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1: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1: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1: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1: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1: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1: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1: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1: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1: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1: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1: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1: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1: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1: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1: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1: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1: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1: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spans="1: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1: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1: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spans="1: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spans="1: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spans="1: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1: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1: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spans="1: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spans="1: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spans="1: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spans="1: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spans="1: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spans="1: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1: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spans="1: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spans="1: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spans="1: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spans="1: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spans="1: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spans="1: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1: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1: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1: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spans="1: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spans="1: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spans="1: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spans="1: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spans="1: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spans="1: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1: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1: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spans="1: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spans="1: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spans="1: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spans="1: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spans="1: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spans="1: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spans="1: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spans="1: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1: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spans="1: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</sheetData>
  <mergeCells count="1">
    <mergeCell ref="C1:AC4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A2" sqref="A2"/>
    </sheetView>
  </sheetViews>
  <sheetFormatPr defaultColWidth="14.42578125" defaultRowHeight="15" customHeight="1"/>
  <cols>
    <col min="1" max="1" width="94.85546875" style="2" customWidth="1"/>
    <col min="2" max="25" width="8.7109375" style="2" customWidth="1"/>
  </cols>
  <sheetData>
    <row r="1" spans="1:1">
      <c r="A1" s="1" t="s">
        <v>14</v>
      </c>
    </row>
    <row r="2" spans="1:1" ht="409.6">
      <c r="A2" s="7" t="s">
        <v>15</v>
      </c>
    </row>
    <row r="3" spans="1:1"/>
    <row r="4" spans="1:1"/>
    <row r="5" spans="1:1"/>
    <row r="6" spans="1:1"/>
    <row r="7" spans="1:1"/>
    <row r="8" spans="1:1"/>
    <row r="9" spans="1:1"/>
    <row r="10" spans="1:1"/>
    <row r="11" spans="1:1"/>
    <row r="12" spans="1:1"/>
    <row r="13" spans="1:1"/>
    <row r="14" spans="1:1"/>
    <row r="15" spans="1:1"/>
    <row r="16" spans="1:1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B35D-6ED0-4890-89FF-F89648D979F9}">
  <dimension ref="A3:B14"/>
  <sheetViews>
    <sheetView workbookViewId="0">
      <selection activeCell="A3" sqref="A3:B14"/>
    </sheetView>
  </sheetViews>
  <sheetFormatPr defaultRowHeight="15"/>
  <cols>
    <col min="1" max="1" width="17.28515625" bestFit="1" customWidth="1"/>
    <col min="2" max="2" width="20.42578125" bestFit="1" customWidth="1"/>
  </cols>
  <sheetData>
    <row r="3" spans="1:2">
      <c r="A3" s="15" t="s">
        <v>16</v>
      </c>
      <c r="B3" s="15" t="s">
        <v>2</v>
      </c>
    </row>
    <row r="4" spans="1:2">
      <c r="A4" s="15" t="s">
        <v>17</v>
      </c>
      <c r="B4" s="16">
        <v>5219.1299999999974</v>
      </c>
    </row>
    <row r="5" spans="1:2">
      <c r="A5" s="15" t="s">
        <v>18</v>
      </c>
      <c r="B5" s="16">
        <v>15298.979999999994</v>
      </c>
    </row>
    <row r="6" spans="1:2">
      <c r="A6" s="15" t="s">
        <v>19</v>
      </c>
      <c r="B6" s="16">
        <v>3119.6099999999992</v>
      </c>
    </row>
    <row r="7" spans="1:2">
      <c r="A7" s="15" t="s">
        <v>20</v>
      </c>
      <c r="B7" s="16">
        <v>23399.22</v>
      </c>
    </row>
    <row r="8" spans="1:2">
      <c r="A8" s="15" t="s">
        <v>21</v>
      </c>
      <c r="B8" s="16">
        <v>7049.5299999999988</v>
      </c>
    </row>
    <row r="9" spans="1:2">
      <c r="A9" s="15" t="s">
        <v>22</v>
      </c>
      <c r="B9" s="16">
        <v>8009.1099999999969</v>
      </c>
    </row>
    <row r="10" spans="1:2">
      <c r="A10" s="15" t="s">
        <v>23</v>
      </c>
      <c r="B10" s="16">
        <v>67499.25</v>
      </c>
    </row>
    <row r="11" spans="1:2">
      <c r="A11" s="15" t="s">
        <v>24</v>
      </c>
      <c r="B11" s="16">
        <v>21999.119999999999</v>
      </c>
    </row>
    <row r="12" spans="1:2">
      <c r="A12" s="15" t="s">
        <v>25</v>
      </c>
      <c r="B12" s="16">
        <v>10399.479999999998</v>
      </c>
    </row>
    <row r="13" spans="1:2">
      <c r="A13" s="15" t="s">
        <v>26</v>
      </c>
      <c r="B13" s="16">
        <v>67199.039999999994</v>
      </c>
    </row>
    <row r="14" spans="1:2">
      <c r="A14" s="15" t="s">
        <v>8</v>
      </c>
      <c r="B14" s="16">
        <v>229192.46999999997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E5E-C7EA-432B-A5D7-FE19077B3E61}">
  <dimension ref="A3:B9"/>
  <sheetViews>
    <sheetView workbookViewId="0">
      <selection activeCell="A3" sqref="A3:B9"/>
    </sheetView>
  </sheetViews>
  <sheetFormatPr defaultRowHeight="15"/>
  <cols>
    <col min="1" max="1" width="11.42578125" bestFit="1" customWidth="1"/>
    <col min="2" max="2" width="20.42578125" bestFit="1" customWidth="1"/>
  </cols>
  <sheetData>
    <row r="3" spans="1:2">
      <c r="A3" s="17" t="s">
        <v>1</v>
      </c>
      <c r="B3" s="17" t="s">
        <v>2</v>
      </c>
    </row>
    <row r="4" spans="1:2">
      <c r="A4" s="17" t="s">
        <v>3</v>
      </c>
      <c r="B4" s="18">
        <v>41288.340000000018</v>
      </c>
    </row>
    <row r="5" spans="1:2">
      <c r="A5" s="17" t="s">
        <v>4</v>
      </c>
      <c r="B5" s="18">
        <v>59288.389999999992</v>
      </c>
    </row>
    <row r="6" spans="1:2">
      <c r="A6" s="17" t="s">
        <v>5</v>
      </c>
      <c r="B6" s="18">
        <v>50808.310000000012</v>
      </c>
    </row>
    <row r="7" spans="1:2">
      <c r="A7" s="17" t="s">
        <v>6</v>
      </c>
      <c r="B7" s="18">
        <v>36398.750000000007</v>
      </c>
    </row>
    <row r="8" spans="1:2">
      <c r="A8" s="17" t="s">
        <v>7</v>
      </c>
      <c r="B8" s="18">
        <v>41408.680000000015</v>
      </c>
    </row>
    <row r="9" spans="1:2">
      <c r="A9" s="17" t="s">
        <v>8</v>
      </c>
      <c r="B9" s="18">
        <v>229192.47000000006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0544-0E11-4584-9243-C982FDD76DF5}">
  <dimension ref="A3:B7"/>
  <sheetViews>
    <sheetView workbookViewId="0">
      <selection activeCell="A3" sqref="A3:B7"/>
    </sheetView>
  </sheetViews>
  <sheetFormatPr defaultRowHeight="15"/>
  <cols>
    <col min="1" max="1" width="21.5703125" bestFit="1" customWidth="1"/>
    <col min="2" max="2" width="20.42578125" bestFit="1" customWidth="1"/>
  </cols>
  <sheetData>
    <row r="3" spans="1:2">
      <c r="A3" s="19" t="s">
        <v>27</v>
      </c>
      <c r="B3" s="19" t="s">
        <v>2</v>
      </c>
    </row>
    <row r="4" spans="1:2">
      <c r="A4" s="19" t="s">
        <v>28</v>
      </c>
      <c r="B4" s="20">
        <v>62177.810000000019</v>
      </c>
    </row>
    <row r="5" spans="1:2">
      <c r="A5" s="19" t="s">
        <v>29</v>
      </c>
      <c r="B5" s="20">
        <v>84657.12000000001</v>
      </c>
    </row>
    <row r="6" spans="1:2">
      <c r="A6" s="19" t="s">
        <v>30</v>
      </c>
      <c r="B6" s="20">
        <v>82357.540000000037</v>
      </c>
    </row>
    <row r="7" spans="1:2">
      <c r="A7" s="19" t="s">
        <v>8</v>
      </c>
      <c r="B7" s="20">
        <v>229192.47000000006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878D-8E35-42A1-AC53-C49183E0F67C}">
  <dimension ref="A3:B9"/>
  <sheetViews>
    <sheetView showGridLines="0" workbookViewId="0">
      <selection activeCell="A3" sqref="A3:B9"/>
    </sheetView>
  </sheetViews>
  <sheetFormatPr defaultRowHeight="15"/>
  <cols>
    <col min="1" max="1" width="11.42578125" bestFit="1" customWidth="1"/>
    <col min="2" max="2" width="15.140625" bestFit="1" customWidth="1"/>
  </cols>
  <sheetData>
    <row r="3" spans="1:2">
      <c r="A3" s="13" t="s">
        <v>1</v>
      </c>
      <c r="B3" t="s">
        <v>31</v>
      </c>
    </row>
    <row r="4" spans="1:2">
      <c r="A4" t="s">
        <v>3</v>
      </c>
      <c r="B4" s="14">
        <v>54</v>
      </c>
    </row>
    <row r="5" spans="1:2">
      <c r="A5" t="s">
        <v>4</v>
      </c>
      <c r="B5" s="14">
        <v>48</v>
      </c>
    </row>
    <row r="6" spans="1:2">
      <c r="A6" t="s">
        <v>5</v>
      </c>
      <c r="B6" s="14">
        <v>59</v>
      </c>
    </row>
    <row r="7" spans="1:2">
      <c r="A7" t="s">
        <v>6</v>
      </c>
      <c r="B7" s="14">
        <v>42</v>
      </c>
    </row>
    <row r="8" spans="1:2">
      <c r="A8" t="s">
        <v>7</v>
      </c>
      <c r="B8" s="14">
        <v>47</v>
      </c>
    </row>
    <row r="9" spans="1:2">
      <c r="A9" t="s">
        <v>8</v>
      </c>
      <c r="B9" s="14">
        <v>250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5DB4-DA80-44DA-9388-2558C92AD68C}">
  <dimension ref="A3:B4"/>
  <sheetViews>
    <sheetView showGridLines="0" workbookViewId="0">
      <selection activeCell="A3" sqref="A3:B4"/>
    </sheetView>
  </sheetViews>
  <sheetFormatPr defaultRowHeight="15"/>
  <cols>
    <col min="1" max="1" width="16.85546875" bestFit="1" customWidth="1"/>
    <col min="2" max="2" width="20.42578125" bestFit="1" customWidth="1"/>
  </cols>
  <sheetData>
    <row r="3" spans="1:2">
      <c r="A3" t="s">
        <v>32</v>
      </c>
      <c r="B3" t="s">
        <v>2</v>
      </c>
    </row>
    <row r="4" spans="1:2">
      <c r="A4" s="14">
        <v>74167.500000000015</v>
      </c>
      <c r="B4" s="14">
        <v>229192.47000000032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08A4-4E70-46AB-B2B3-F8964CCCF9F2}">
  <dimension ref="A3:B7"/>
  <sheetViews>
    <sheetView showGridLines="0" workbookViewId="0">
      <selection activeCell="A3" sqref="A3:B7"/>
    </sheetView>
  </sheetViews>
  <sheetFormatPr defaultRowHeight="15"/>
  <cols>
    <col min="1" max="1" width="12" bestFit="1" customWidth="1"/>
    <col min="2" max="2" width="17" bestFit="1" customWidth="1"/>
  </cols>
  <sheetData>
    <row r="3" spans="1:2">
      <c r="A3" s="13" t="s">
        <v>9</v>
      </c>
      <c r="B3" t="s">
        <v>33</v>
      </c>
    </row>
    <row r="4" spans="1:2">
      <c r="A4" t="s">
        <v>10</v>
      </c>
      <c r="B4" s="14">
        <v>43</v>
      </c>
    </row>
    <row r="5" spans="1:2">
      <c r="A5" t="s">
        <v>11</v>
      </c>
      <c r="B5" s="14">
        <v>131</v>
      </c>
    </row>
    <row r="6" spans="1:2">
      <c r="A6" t="s">
        <v>12</v>
      </c>
      <c r="B6" s="14">
        <v>76</v>
      </c>
    </row>
    <row r="7" spans="1:2">
      <c r="A7" t="s">
        <v>8</v>
      </c>
      <c r="B7" s="14">
        <v>250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>
      <selection sqref="A1:N251"/>
    </sheetView>
  </sheetViews>
  <sheetFormatPr defaultColWidth="14.42578125" defaultRowHeight="15" customHeight="1"/>
  <cols>
    <col min="1" max="1" width="13.7109375" customWidth="1"/>
    <col min="2" max="2" width="10.85546875" customWidth="1"/>
    <col min="3" max="3" width="12.28515625" customWidth="1"/>
    <col min="4" max="4" width="15.85546875" customWidth="1"/>
    <col min="5" max="5" width="10.7109375" customWidth="1"/>
    <col min="6" max="6" width="13.85546875" customWidth="1"/>
    <col min="7" max="7" width="10.42578125" customWidth="1"/>
    <col min="8" max="8" width="8.5703125" customWidth="1"/>
    <col min="9" max="9" width="10" customWidth="1"/>
    <col min="10" max="10" width="16.42578125" customWidth="1"/>
    <col min="11" max="11" width="7.28515625" customWidth="1"/>
    <col min="12" max="12" width="17.85546875" customWidth="1"/>
    <col min="13" max="13" width="14.85546875" customWidth="1"/>
    <col min="14" max="14" width="13.140625" customWidth="1"/>
    <col min="15" max="18" width="8.7109375" customWidth="1"/>
    <col min="19" max="19" width="72.85546875" customWidth="1"/>
    <col min="20" max="21" width="8.7109375" customWidth="1"/>
    <col min="22" max="22" width="15.85546875" customWidth="1"/>
    <col min="23" max="23" width="8.7109375" customWidth="1"/>
    <col min="24" max="24" width="13.7109375" customWidth="1"/>
    <col min="25" max="25" width="11.140625" customWidth="1"/>
    <col min="26" max="26" width="8.7109375" customWidth="1"/>
  </cols>
  <sheetData>
    <row r="1" spans="1:26">
      <c r="A1" s="3" t="s">
        <v>34</v>
      </c>
      <c r="B1" s="3" t="s">
        <v>13</v>
      </c>
      <c r="C1" s="3" t="s">
        <v>35</v>
      </c>
      <c r="D1" s="3" t="s">
        <v>36</v>
      </c>
      <c r="E1" s="3" t="s">
        <v>37</v>
      </c>
      <c r="F1" s="3" t="s">
        <v>16</v>
      </c>
      <c r="G1" s="3" t="s">
        <v>9</v>
      </c>
      <c r="H1" s="3" t="s">
        <v>38</v>
      </c>
      <c r="I1" s="3" t="s">
        <v>39</v>
      </c>
      <c r="J1" s="3" t="s">
        <v>40</v>
      </c>
      <c r="K1" s="3" t="s">
        <v>1</v>
      </c>
      <c r="L1" s="3" t="s">
        <v>27</v>
      </c>
      <c r="M1" s="3" t="s">
        <v>41</v>
      </c>
      <c r="N1" s="3" t="s">
        <v>42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43</v>
      </c>
      <c r="B2" s="6">
        <v>45393</v>
      </c>
      <c r="C2" s="5" t="s">
        <v>44</v>
      </c>
      <c r="D2" s="5" t="s">
        <v>45</v>
      </c>
      <c r="E2" s="5" t="s">
        <v>46</v>
      </c>
      <c r="F2" s="5" t="s">
        <v>24</v>
      </c>
      <c r="G2" s="5" t="s">
        <v>11</v>
      </c>
      <c r="H2" s="5">
        <v>3</v>
      </c>
      <c r="I2" s="5">
        <v>249.99</v>
      </c>
      <c r="J2" s="5" t="s">
        <v>47</v>
      </c>
      <c r="K2" s="5" t="s">
        <v>3</v>
      </c>
      <c r="L2" s="5" t="s">
        <v>28</v>
      </c>
      <c r="M2" s="6">
        <v>44425</v>
      </c>
      <c r="N2" s="5">
        <v>749.97</v>
      </c>
    </row>
    <row r="3" spans="1:26">
      <c r="A3" s="5" t="s">
        <v>48</v>
      </c>
      <c r="B3" s="6">
        <v>45396</v>
      </c>
      <c r="C3" s="5" t="s">
        <v>49</v>
      </c>
      <c r="D3" s="5" t="s">
        <v>50</v>
      </c>
      <c r="E3" s="5" t="s">
        <v>46</v>
      </c>
      <c r="F3" s="5" t="s">
        <v>24</v>
      </c>
      <c r="G3" s="5" t="s">
        <v>11</v>
      </c>
      <c r="H3" s="5">
        <v>3</v>
      </c>
      <c r="I3" s="5">
        <v>249.99</v>
      </c>
      <c r="J3" s="5" t="s">
        <v>51</v>
      </c>
      <c r="K3" s="5" t="s">
        <v>3</v>
      </c>
      <c r="L3" s="5" t="s">
        <v>29</v>
      </c>
      <c r="M3" s="6">
        <v>44575</v>
      </c>
      <c r="N3" s="5">
        <v>749.97</v>
      </c>
    </row>
    <row r="4" spans="1:26">
      <c r="A4" s="5" t="s">
        <v>52</v>
      </c>
      <c r="B4" s="6">
        <v>45399</v>
      </c>
      <c r="C4" s="5" t="s">
        <v>53</v>
      </c>
      <c r="D4" s="5" t="s">
        <v>54</v>
      </c>
      <c r="E4" s="5" t="s">
        <v>55</v>
      </c>
      <c r="F4" s="5" t="s">
        <v>17</v>
      </c>
      <c r="G4" s="5" t="s">
        <v>10</v>
      </c>
      <c r="H4" s="5">
        <v>3</v>
      </c>
      <c r="I4" s="5">
        <v>59.99</v>
      </c>
      <c r="J4" s="5" t="s">
        <v>56</v>
      </c>
      <c r="K4" s="5" t="s">
        <v>6</v>
      </c>
      <c r="L4" s="5" t="s">
        <v>30</v>
      </c>
      <c r="M4" s="6">
        <v>45262</v>
      </c>
      <c r="N4" s="5">
        <v>179.97</v>
      </c>
    </row>
    <row r="5" spans="1:26">
      <c r="A5" s="5" t="s">
        <v>57</v>
      </c>
      <c r="B5" s="6">
        <v>45400</v>
      </c>
      <c r="C5" s="5" t="s">
        <v>58</v>
      </c>
      <c r="D5" s="5" t="s">
        <v>59</v>
      </c>
      <c r="E5" s="5" t="s">
        <v>55</v>
      </c>
      <c r="F5" s="5" t="s">
        <v>17</v>
      </c>
      <c r="G5" s="5" t="s">
        <v>10</v>
      </c>
      <c r="H5" s="5">
        <v>3</v>
      </c>
      <c r="I5" s="5">
        <v>59.99</v>
      </c>
      <c r="J5" s="5" t="s">
        <v>47</v>
      </c>
      <c r="K5" s="5" t="s">
        <v>5</v>
      </c>
      <c r="L5" s="5" t="s">
        <v>29</v>
      </c>
      <c r="M5" s="6">
        <v>45114</v>
      </c>
      <c r="N5" s="5">
        <v>179.97</v>
      </c>
    </row>
    <row r="6" spans="1:26">
      <c r="A6" s="5" t="s">
        <v>60</v>
      </c>
      <c r="B6" s="6">
        <v>45400</v>
      </c>
      <c r="C6" s="5" t="s">
        <v>61</v>
      </c>
      <c r="D6" s="5" t="s">
        <v>62</v>
      </c>
      <c r="E6" s="5" t="s">
        <v>63</v>
      </c>
      <c r="F6" s="5" t="s">
        <v>18</v>
      </c>
      <c r="G6" s="5" t="s">
        <v>12</v>
      </c>
      <c r="H6" s="5">
        <v>5</v>
      </c>
      <c r="I6" s="5">
        <v>149.99</v>
      </c>
      <c r="J6" s="5" t="s">
        <v>51</v>
      </c>
      <c r="K6" s="5" t="s">
        <v>5</v>
      </c>
      <c r="L6" s="5" t="s">
        <v>29</v>
      </c>
      <c r="M6" s="6">
        <v>45295</v>
      </c>
      <c r="N6" s="5">
        <v>749.95</v>
      </c>
    </row>
    <row r="7" spans="1:26">
      <c r="A7" s="5" t="s">
        <v>64</v>
      </c>
      <c r="B7" s="6">
        <v>45403</v>
      </c>
      <c r="C7" s="5" t="s">
        <v>65</v>
      </c>
      <c r="D7" s="5" t="s">
        <v>66</v>
      </c>
      <c r="E7" s="5" t="s">
        <v>55</v>
      </c>
      <c r="F7" s="5" t="s">
        <v>17</v>
      </c>
      <c r="G7" s="5" t="s">
        <v>10</v>
      </c>
      <c r="H7" s="5">
        <v>2</v>
      </c>
      <c r="I7" s="5">
        <v>59.99</v>
      </c>
      <c r="J7" s="5" t="s">
        <v>47</v>
      </c>
      <c r="K7" s="5" t="s">
        <v>7</v>
      </c>
      <c r="L7" s="5" t="s">
        <v>30</v>
      </c>
      <c r="M7" s="6">
        <v>44746</v>
      </c>
      <c r="N7" s="5">
        <v>119.98</v>
      </c>
    </row>
    <row r="8" spans="1:26">
      <c r="A8" s="5" t="s">
        <v>67</v>
      </c>
      <c r="B8" s="6">
        <v>45403</v>
      </c>
      <c r="C8" s="5" t="s">
        <v>65</v>
      </c>
      <c r="D8" s="5" t="s">
        <v>66</v>
      </c>
      <c r="E8" s="5" t="s">
        <v>68</v>
      </c>
      <c r="F8" s="5" t="s">
        <v>21</v>
      </c>
      <c r="G8" s="5" t="s">
        <v>11</v>
      </c>
      <c r="H8" s="5">
        <v>5</v>
      </c>
      <c r="I8" s="5">
        <v>149.99</v>
      </c>
      <c r="J8" s="5" t="s">
        <v>51</v>
      </c>
      <c r="K8" s="5" t="s">
        <v>3</v>
      </c>
      <c r="L8" s="5" t="s">
        <v>30</v>
      </c>
      <c r="M8" s="6">
        <v>44418</v>
      </c>
      <c r="N8" s="5">
        <v>749.95</v>
      </c>
    </row>
    <row r="9" spans="1:26">
      <c r="A9" s="5" t="s">
        <v>69</v>
      </c>
      <c r="B9" s="6">
        <v>45403</v>
      </c>
      <c r="C9" s="5" t="s">
        <v>70</v>
      </c>
      <c r="D9" s="5" t="s">
        <v>71</v>
      </c>
      <c r="E9" s="5" t="s">
        <v>55</v>
      </c>
      <c r="F9" s="5" t="s">
        <v>17</v>
      </c>
      <c r="G9" s="5" t="s">
        <v>10</v>
      </c>
      <c r="H9" s="5">
        <v>3</v>
      </c>
      <c r="I9" s="5">
        <v>59.99</v>
      </c>
      <c r="J9" s="5" t="s">
        <v>72</v>
      </c>
      <c r="K9" s="5" t="s">
        <v>6</v>
      </c>
      <c r="L9" s="5" t="s">
        <v>28</v>
      </c>
      <c r="M9" s="6">
        <v>45007</v>
      </c>
      <c r="N9" s="5">
        <v>179.97</v>
      </c>
    </row>
    <row r="10" spans="1:26">
      <c r="A10" s="5" t="s">
        <v>73</v>
      </c>
      <c r="B10" s="6">
        <v>45405</v>
      </c>
      <c r="C10" s="5" t="s">
        <v>74</v>
      </c>
      <c r="D10" s="5" t="s">
        <v>75</v>
      </c>
      <c r="E10" s="5" t="s">
        <v>76</v>
      </c>
      <c r="F10" s="5" t="s">
        <v>23</v>
      </c>
      <c r="G10" s="5" t="s">
        <v>11</v>
      </c>
      <c r="H10" s="5">
        <v>3</v>
      </c>
      <c r="I10" s="5">
        <v>899.99</v>
      </c>
      <c r="J10" s="5" t="s">
        <v>56</v>
      </c>
      <c r="K10" s="5" t="s">
        <v>4</v>
      </c>
      <c r="L10" s="5" t="s">
        <v>30</v>
      </c>
      <c r="M10" s="6">
        <v>45299</v>
      </c>
      <c r="N10" s="5">
        <v>2699.97</v>
      </c>
    </row>
    <row r="11" spans="1:26">
      <c r="A11" s="5" t="s">
        <v>77</v>
      </c>
      <c r="B11" s="6">
        <v>45408</v>
      </c>
      <c r="C11" s="5" t="s">
        <v>78</v>
      </c>
      <c r="D11" s="5" t="s">
        <v>79</v>
      </c>
      <c r="E11" s="5" t="s">
        <v>55</v>
      </c>
      <c r="F11" s="5" t="s">
        <v>17</v>
      </c>
      <c r="G11" s="5" t="s">
        <v>10</v>
      </c>
      <c r="H11" s="5">
        <v>3</v>
      </c>
      <c r="I11" s="5">
        <v>59.99</v>
      </c>
      <c r="J11" s="5" t="s">
        <v>47</v>
      </c>
      <c r="K11" s="5" t="s">
        <v>7</v>
      </c>
      <c r="L11" s="5" t="s">
        <v>29</v>
      </c>
      <c r="M11" s="6">
        <v>45207</v>
      </c>
      <c r="N11" s="5">
        <v>179.97</v>
      </c>
    </row>
    <row r="12" spans="1:26">
      <c r="A12" s="5" t="s">
        <v>80</v>
      </c>
      <c r="B12" s="6">
        <v>45408</v>
      </c>
      <c r="C12" s="5" t="s">
        <v>81</v>
      </c>
      <c r="D12" s="5" t="s">
        <v>82</v>
      </c>
      <c r="E12" s="5" t="s">
        <v>63</v>
      </c>
      <c r="F12" s="5" t="s">
        <v>18</v>
      </c>
      <c r="G12" s="5" t="s">
        <v>12</v>
      </c>
      <c r="H12" s="5">
        <v>1</v>
      </c>
      <c r="I12" s="5">
        <v>149.99</v>
      </c>
      <c r="J12" s="5" t="s">
        <v>51</v>
      </c>
      <c r="K12" s="5" t="s">
        <v>7</v>
      </c>
      <c r="L12" s="5" t="s">
        <v>30</v>
      </c>
      <c r="M12" s="6">
        <v>45103</v>
      </c>
      <c r="N12" s="5">
        <v>149.99</v>
      </c>
    </row>
    <row r="13" spans="1:26">
      <c r="A13" s="5" t="s">
        <v>83</v>
      </c>
      <c r="B13" s="6">
        <v>45408</v>
      </c>
      <c r="C13" s="5" t="s">
        <v>58</v>
      </c>
      <c r="D13" s="5" t="s">
        <v>59</v>
      </c>
      <c r="E13" s="5" t="s">
        <v>63</v>
      </c>
      <c r="F13" s="5" t="s">
        <v>18</v>
      </c>
      <c r="G13" s="5" t="s">
        <v>12</v>
      </c>
      <c r="H13" s="5">
        <v>5</v>
      </c>
      <c r="I13" s="5">
        <v>149.99</v>
      </c>
      <c r="J13" s="5" t="s">
        <v>72</v>
      </c>
      <c r="K13" s="5" t="s">
        <v>5</v>
      </c>
      <c r="L13" s="5" t="s">
        <v>28</v>
      </c>
      <c r="M13" s="6">
        <v>44830</v>
      </c>
      <c r="N13" s="5">
        <v>749.95</v>
      </c>
    </row>
    <row r="14" spans="1:26">
      <c r="A14" s="5" t="s">
        <v>84</v>
      </c>
      <c r="B14" s="6">
        <v>45408</v>
      </c>
      <c r="C14" s="5" t="s">
        <v>85</v>
      </c>
      <c r="D14" s="5" t="s">
        <v>86</v>
      </c>
      <c r="E14" s="5" t="s">
        <v>63</v>
      </c>
      <c r="F14" s="5" t="s">
        <v>18</v>
      </c>
      <c r="G14" s="5" t="s">
        <v>12</v>
      </c>
      <c r="H14" s="5">
        <v>3</v>
      </c>
      <c r="I14" s="5">
        <v>149.99</v>
      </c>
      <c r="J14" s="5" t="s">
        <v>47</v>
      </c>
      <c r="K14" s="5" t="s">
        <v>5</v>
      </c>
      <c r="L14" s="5" t="s">
        <v>29</v>
      </c>
      <c r="M14" s="6">
        <v>44806</v>
      </c>
      <c r="N14" s="5">
        <v>449.97</v>
      </c>
    </row>
    <row r="15" spans="1:26" ht="30.75">
      <c r="A15" s="5" t="s">
        <v>87</v>
      </c>
      <c r="B15" s="6">
        <v>45409</v>
      </c>
      <c r="C15" s="5" t="s">
        <v>88</v>
      </c>
      <c r="D15" s="5" t="s">
        <v>89</v>
      </c>
      <c r="E15" s="5" t="s">
        <v>55</v>
      </c>
      <c r="F15" s="5" t="s">
        <v>17</v>
      </c>
      <c r="G15" s="5" t="s">
        <v>10</v>
      </c>
      <c r="H15" s="5">
        <v>3</v>
      </c>
      <c r="I15" s="5">
        <v>59.99</v>
      </c>
      <c r="J15" s="5" t="s">
        <v>51</v>
      </c>
      <c r="K15" s="5" t="s">
        <v>5</v>
      </c>
      <c r="L15" s="5" t="s">
        <v>30</v>
      </c>
      <c r="M15" s="6">
        <v>45351</v>
      </c>
      <c r="N15" s="5">
        <v>179.97</v>
      </c>
      <c r="S15" s="8" t="s">
        <v>90</v>
      </c>
    </row>
    <row r="16" spans="1:26">
      <c r="A16" s="5" t="s">
        <v>91</v>
      </c>
      <c r="B16" s="6">
        <v>45409</v>
      </c>
      <c r="C16" s="5" t="s">
        <v>92</v>
      </c>
      <c r="D16" s="5" t="s">
        <v>93</v>
      </c>
      <c r="E16" s="5" t="s">
        <v>94</v>
      </c>
      <c r="F16" s="5" t="s">
        <v>26</v>
      </c>
      <c r="G16" s="5" t="s">
        <v>11</v>
      </c>
      <c r="H16" s="5">
        <v>3</v>
      </c>
      <c r="I16" s="5">
        <v>699.99</v>
      </c>
      <c r="J16" s="5" t="s">
        <v>51</v>
      </c>
      <c r="K16" s="5" t="s">
        <v>7</v>
      </c>
      <c r="L16" s="5" t="s">
        <v>28</v>
      </c>
      <c r="M16" s="6">
        <v>44577</v>
      </c>
      <c r="N16" s="5">
        <v>2099.9699999999998</v>
      </c>
    </row>
    <row r="17" spans="1:32">
      <c r="A17" s="5" t="s">
        <v>95</v>
      </c>
      <c r="B17" s="6">
        <v>45409</v>
      </c>
      <c r="C17" s="5" t="s">
        <v>96</v>
      </c>
      <c r="D17" s="5" t="s">
        <v>97</v>
      </c>
      <c r="E17" s="5" t="s">
        <v>76</v>
      </c>
      <c r="F17" s="5" t="s">
        <v>23</v>
      </c>
      <c r="G17" s="5" t="s">
        <v>11</v>
      </c>
      <c r="H17" s="5">
        <v>1</v>
      </c>
      <c r="I17" s="5">
        <v>899.99</v>
      </c>
      <c r="J17" s="5" t="s">
        <v>72</v>
      </c>
      <c r="K17" s="5" t="s">
        <v>5</v>
      </c>
      <c r="L17" s="5" t="s">
        <v>30</v>
      </c>
      <c r="M17" s="6">
        <v>44920</v>
      </c>
      <c r="N17" s="5">
        <v>899.99</v>
      </c>
      <c r="S17" s="9">
        <f ca="1">TODAY()-B2</f>
        <v>623</v>
      </c>
    </row>
    <row r="18" spans="1:32">
      <c r="A18" s="5" t="s">
        <v>98</v>
      </c>
      <c r="B18" s="6">
        <v>45410</v>
      </c>
      <c r="C18" s="5" t="s">
        <v>99</v>
      </c>
      <c r="D18" s="5" t="s">
        <v>100</v>
      </c>
      <c r="E18" s="5" t="s">
        <v>63</v>
      </c>
      <c r="F18" s="5" t="s">
        <v>18</v>
      </c>
      <c r="G18" s="5" t="s">
        <v>12</v>
      </c>
      <c r="H18" s="5">
        <v>4</v>
      </c>
      <c r="I18" s="5">
        <v>149.99</v>
      </c>
      <c r="J18" s="5" t="s">
        <v>72</v>
      </c>
      <c r="K18" s="5" t="s">
        <v>5</v>
      </c>
      <c r="L18" s="5" t="s">
        <v>29</v>
      </c>
      <c r="M18" s="6">
        <v>45374</v>
      </c>
      <c r="N18" s="5">
        <v>599.96</v>
      </c>
    </row>
    <row r="19" spans="1:32">
      <c r="A19" s="5" t="s">
        <v>101</v>
      </c>
      <c r="B19" s="6">
        <v>45410</v>
      </c>
      <c r="C19" s="5" t="s">
        <v>102</v>
      </c>
      <c r="D19" s="5" t="s">
        <v>103</v>
      </c>
      <c r="E19" s="5" t="s">
        <v>94</v>
      </c>
      <c r="F19" s="5" t="s">
        <v>26</v>
      </c>
      <c r="G19" s="5" t="s">
        <v>11</v>
      </c>
      <c r="H19" s="5">
        <v>2</v>
      </c>
      <c r="I19" s="5">
        <v>699.99</v>
      </c>
      <c r="J19" s="5" t="s">
        <v>47</v>
      </c>
      <c r="K19" s="5" t="s">
        <v>5</v>
      </c>
      <c r="L19" s="5" t="s">
        <v>28</v>
      </c>
      <c r="M19" s="6">
        <v>44781</v>
      </c>
      <c r="N19" s="5">
        <v>1399.98</v>
      </c>
      <c r="S19">
        <f ca="1">DATEDIF(M2,TODAY(),"Y")</f>
        <v>4</v>
      </c>
    </row>
    <row r="20" spans="1:32">
      <c r="A20" s="5" t="s">
        <v>104</v>
      </c>
      <c r="B20" s="6">
        <v>45410</v>
      </c>
      <c r="C20" s="5" t="s">
        <v>99</v>
      </c>
      <c r="D20" s="5" t="s">
        <v>100</v>
      </c>
      <c r="E20" s="5" t="s">
        <v>76</v>
      </c>
      <c r="F20" s="5" t="s">
        <v>23</v>
      </c>
      <c r="G20" s="5" t="s">
        <v>11</v>
      </c>
      <c r="H20" s="5">
        <v>4</v>
      </c>
      <c r="I20" s="5">
        <v>899.99</v>
      </c>
      <c r="J20" s="5" t="s">
        <v>51</v>
      </c>
      <c r="K20" s="5" t="s">
        <v>7</v>
      </c>
      <c r="L20" s="5" t="s">
        <v>30</v>
      </c>
      <c r="M20" s="6">
        <v>45327</v>
      </c>
      <c r="N20" s="5">
        <v>3599.96</v>
      </c>
    </row>
    <row r="21" spans="1:32" ht="15.75" customHeight="1">
      <c r="A21" s="5" t="s">
        <v>105</v>
      </c>
      <c r="B21" s="6">
        <v>45410</v>
      </c>
      <c r="C21" s="5" t="s">
        <v>106</v>
      </c>
      <c r="D21" s="5" t="s">
        <v>107</v>
      </c>
      <c r="E21" s="5" t="s">
        <v>46</v>
      </c>
      <c r="F21" s="5" t="s">
        <v>24</v>
      </c>
      <c r="G21" s="5" t="s">
        <v>11</v>
      </c>
      <c r="H21" s="5">
        <v>3</v>
      </c>
      <c r="I21" s="5">
        <v>249.99</v>
      </c>
      <c r="J21" s="5" t="s">
        <v>51</v>
      </c>
      <c r="K21" s="5" t="s">
        <v>5</v>
      </c>
      <c r="L21" s="5" t="s">
        <v>29</v>
      </c>
      <c r="M21" s="6">
        <v>45224</v>
      </c>
      <c r="N21" s="5">
        <v>749.97</v>
      </c>
      <c r="S21">
        <f>EOMONTH(B2,0)</f>
        <v>45412</v>
      </c>
    </row>
    <row r="22" spans="1:32" ht="15.75" customHeight="1">
      <c r="A22" s="5" t="s">
        <v>108</v>
      </c>
      <c r="B22" s="6">
        <v>45412</v>
      </c>
      <c r="C22" s="5" t="s">
        <v>109</v>
      </c>
      <c r="D22" s="5" t="s">
        <v>110</v>
      </c>
      <c r="E22" s="5" t="s">
        <v>94</v>
      </c>
      <c r="F22" s="5" t="s">
        <v>26</v>
      </c>
      <c r="G22" s="5" t="s">
        <v>11</v>
      </c>
      <c r="H22" s="5">
        <v>5</v>
      </c>
      <c r="I22" s="5">
        <v>699.99</v>
      </c>
      <c r="J22" s="5" t="s">
        <v>47</v>
      </c>
      <c r="K22" s="5" t="s">
        <v>7</v>
      </c>
      <c r="L22" s="5" t="s">
        <v>28</v>
      </c>
      <c r="M22" s="6">
        <v>45167</v>
      </c>
      <c r="N22" s="5">
        <v>3499.95</v>
      </c>
    </row>
    <row r="23" spans="1:32" ht="15.75" customHeight="1">
      <c r="A23" s="5" t="s">
        <v>111</v>
      </c>
      <c r="B23" s="6">
        <v>45413</v>
      </c>
      <c r="C23" s="5" t="s">
        <v>112</v>
      </c>
      <c r="D23" s="5" t="s">
        <v>113</v>
      </c>
      <c r="E23" s="5" t="s">
        <v>94</v>
      </c>
      <c r="F23" s="5" t="s">
        <v>26</v>
      </c>
      <c r="G23" s="5" t="s">
        <v>11</v>
      </c>
      <c r="H23" s="5">
        <v>4</v>
      </c>
      <c r="I23" s="5">
        <v>699.99</v>
      </c>
      <c r="J23" s="5" t="s">
        <v>47</v>
      </c>
      <c r="K23" s="5" t="s">
        <v>4</v>
      </c>
      <c r="L23" s="5" t="s">
        <v>30</v>
      </c>
      <c r="M23" s="6">
        <v>44409</v>
      </c>
      <c r="N23" s="5">
        <v>2799.96</v>
      </c>
      <c r="S23" s="11">
        <f ca="1">NOW()</f>
        <v>46016.62766377315</v>
      </c>
    </row>
    <row r="24" spans="1:32" ht="15.75" customHeight="1">
      <c r="A24" s="5" t="s">
        <v>114</v>
      </c>
      <c r="B24" s="6">
        <v>45415</v>
      </c>
      <c r="C24" s="5" t="s">
        <v>115</v>
      </c>
      <c r="D24" s="5" t="s">
        <v>116</v>
      </c>
      <c r="E24" s="5" t="s">
        <v>46</v>
      </c>
      <c r="F24" s="5" t="s">
        <v>24</v>
      </c>
      <c r="G24" s="5" t="s">
        <v>11</v>
      </c>
      <c r="H24" s="5">
        <v>4</v>
      </c>
      <c r="I24" s="5">
        <v>249.99</v>
      </c>
      <c r="J24" s="5" t="s">
        <v>56</v>
      </c>
      <c r="K24" s="5" t="s">
        <v>5</v>
      </c>
      <c r="L24" s="5" t="s">
        <v>30</v>
      </c>
      <c r="M24" s="6">
        <v>44468</v>
      </c>
      <c r="N24" s="5">
        <v>999.96</v>
      </c>
      <c r="S24" s="12"/>
    </row>
    <row r="25" spans="1:32" ht="15.75" customHeight="1">
      <c r="A25" s="5" t="s">
        <v>117</v>
      </c>
      <c r="B25" s="6">
        <v>45416</v>
      </c>
      <c r="C25" s="5" t="s">
        <v>99</v>
      </c>
      <c r="D25" s="5" t="s">
        <v>100</v>
      </c>
      <c r="E25" s="5" t="s">
        <v>118</v>
      </c>
      <c r="F25" s="5" t="s">
        <v>20</v>
      </c>
      <c r="G25" s="5" t="s">
        <v>12</v>
      </c>
      <c r="H25" s="5">
        <v>4</v>
      </c>
      <c r="I25" s="5">
        <v>299.99</v>
      </c>
      <c r="J25" s="5" t="s">
        <v>47</v>
      </c>
      <c r="K25" s="5" t="s">
        <v>7</v>
      </c>
      <c r="L25" s="5" t="s">
        <v>29</v>
      </c>
      <c r="M25" s="6">
        <v>44716</v>
      </c>
      <c r="N25" s="5">
        <v>1199.96</v>
      </c>
    </row>
    <row r="26" spans="1:32" ht="15.75" customHeight="1">
      <c r="A26" s="5" t="s">
        <v>119</v>
      </c>
      <c r="B26" s="6">
        <v>45422</v>
      </c>
      <c r="C26" s="5" t="s">
        <v>120</v>
      </c>
      <c r="D26" s="5" t="s">
        <v>121</v>
      </c>
      <c r="E26" s="5" t="s">
        <v>46</v>
      </c>
      <c r="F26" s="5" t="s">
        <v>24</v>
      </c>
      <c r="G26" s="5" t="s">
        <v>11</v>
      </c>
      <c r="H26" s="5">
        <v>5</v>
      </c>
      <c r="I26" s="5">
        <v>249.99</v>
      </c>
      <c r="J26" s="5" t="s">
        <v>51</v>
      </c>
      <c r="K26" s="5" t="s">
        <v>7</v>
      </c>
      <c r="L26" s="5" t="s">
        <v>30</v>
      </c>
      <c r="M26" s="6">
        <v>44525</v>
      </c>
      <c r="N26" s="5">
        <v>1249.95</v>
      </c>
      <c r="S26" s="10" t="s">
        <v>122</v>
      </c>
    </row>
    <row r="27" spans="1:32" ht="15.75" customHeight="1">
      <c r="A27" s="5" t="s">
        <v>123</v>
      </c>
      <c r="B27" s="6">
        <v>45424</v>
      </c>
      <c r="C27" s="5" t="s">
        <v>81</v>
      </c>
      <c r="D27" s="5" t="s">
        <v>82</v>
      </c>
      <c r="E27" s="5" t="s">
        <v>118</v>
      </c>
      <c r="F27" s="5" t="s">
        <v>20</v>
      </c>
      <c r="G27" s="5" t="s">
        <v>12</v>
      </c>
      <c r="H27" s="5">
        <v>5</v>
      </c>
      <c r="I27" s="5">
        <v>299.99</v>
      </c>
      <c r="J27" s="5" t="s">
        <v>56</v>
      </c>
      <c r="K27" s="5" t="s">
        <v>4</v>
      </c>
      <c r="L27" s="5" t="s">
        <v>28</v>
      </c>
      <c r="M27" s="6">
        <v>45168</v>
      </c>
      <c r="N27" s="5">
        <v>1499.95</v>
      </c>
    </row>
    <row r="28" spans="1:32" ht="15.75" customHeight="1">
      <c r="A28" s="5" t="s">
        <v>124</v>
      </c>
      <c r="B28" s="6">
        <v>45424</v>
      </c>
      <c r="C28" s="5" t="s">
        <v>125</v>
      </c>
      <c r="D28" s="5" t="s">
        <v>126</v>
      </c>
      <c r="E28" s="5" t="s">
        <v>127</v>
      </c>
      <c r="F28" s="5" t="s">
        <v>19</v>
      </c>
      <c r="G28" s="5" t="s">
        <v>10</v>
      </c>
      <c r="H28" s="5">
        <v>3</v>
      </c>
      <c r="I28" s="5">
        <v>79.989999999999995</v>
      </c>
      <c r="J28" s="5" t="s">
        <v>56</v>
      </c>
      <c r="K28" s="5" t="s">
        <v>4</v>
      </c>
      <c r="L28" s="5" t="s">
        <v>29</v>
      </c>
      <c r="M28" s="6">
        <v>45012</v>
      </c>
      <c r="N28" s="5">
        <v>239.97</v>
      </c>
      <c r="S28" t="str" cm="1">
        <f t="array" ref="S28:AF158">_xlfn._xlws.FILTER(A2:N251, G2:G251="Electronics")</f>
        <v>TRX0155</v>
      </c>
      <c r="T28">
        <v>45393</v>
      </c>
      <c r="U28" t="str">
        <v>CUST023</v>
      </c>
      <c r="V28" t="str">
        <v>Paul Baker</v>
      </c>
      <c r="W28" t="str">
        <v>P009</v>
      </c>
      <c r="X28" t="str">
        <v>Monitor</v>
      </c>
      <c r="Y28" t="str">
        <v>Electronics</v>
      </c>
      <c r="Z28">
        <v>3</v>
      </c>
      <c r="AA28">
        <v>249.99</v>
      </c>
      <c r="AB28" t="str">
        <v>Cash</v>
      </c>
      <c r="AC28" t="str">
        <v>Central</v>
      </c>
      <c r="AD28" t="str">
        <v>Basic</v>
      </c>
      <c r="AE28">
        <v>44425</v>
      </c>
      <c r="AF28">
        <v>749.97</v>
      </c>
    </row>
    <row r="29" spans="1:32" ht="15.75" customHeight="1">
      <c r="A29" s="5" t="s">
        <v>128</v>
      </c>
      <c r="B29" s="6">
        <v>45424</v>
      </c>
      <c r="C29" s="5" t="s">
        <v>112</v>
      </c>
      <c r="D29" s="5" t="s">
        <v>113</v>
      </c>
      <c r="E29" s="5" t="s">
        <v>129</v>
      </c>
      <c r="F29" s="5" t="s">
        <v>22</v>
      </c>
      <c r="G29" s="5" t="s">
        <v>11</v>
      </c>
      <c r="H29" s="5">
        <v>5</v>
      </c>
      <c r="I29" s="5">
        <v>89.99</v>
      </c>
      <c r="J29" s="5" t="s">
        <v>47</v>
      </c>
      <c r="K29" s="5" t="s">
        <v>5</v>
      </c>
      <c r="L29" s="5" t="s">
        <v>29</v>
      </c>
      <c r="M29" s="6">
        <v>44919</v>
      </c>
      <c r="N29" s="5">
        <v>449.95</v>
      </c>
      <c r="S29" t="str">
        <v>TRX0023</v>
      </c>
      <c r="T29">
        <v>45396</v>
      </c>
      <c r="U29" t="str">
        <v>CUST013</v>
      </c>
      <c r="V29" t="str">
        <v>Joseph Jackson</v>
      </c>
      <c r="W29" t="str">
        <v>P009</v>
      </c>
      <c r="X29" t="str">
        <v>Monitor</v>
      </c>
      <c r="Y29" t="str">
        <v>Electronics</v>
      </c>
      <c r="Z29">
        <v>3</v>
      </c>
      <c r="AA29">
        <v>249.99</v>
      </c>
      <c r="AB29" t="str">
        <v>Credit Card</v>
      </c>
      <c r="AC29" t="str">
        <v>Central</v>
      </c>
      <c r="AD29" t="str">
        <v>Premium</v>
      </c>
      <c r="AE29">
        <v>44575</v>
      </c>
      <c r="AF29">
        <v>749.97</v>
      </c>
    </row>
    <row r="30" spans="1:32" ht="15.75" customHeight="1">
      <c r="A30" s="5" t="s">
        <v>130</v>
      </c>
      <c r="B30" s="6">
        <v>45425</v>
      </c>
      <c r="C30" s="5" t="s">
        <v>131</v>
      </c>
      <c r="D30" s="5" t="s">
        <v>132</v>
      </c>
      <c r="E30" s="5" t="s">
        <v>55</v>
      </c>
      <c r="F30" s="5" t="s">
        <v>17</v>
      </c>
      <c r="G30" s="5" t="s">
        <v>10</v>
      </c>
      <c r="H30" s="5">
        <v>2</v>
      </c>
      <c r="I30" s="5">
        <v>59.99</v>
      </c>
      <c r="J30" s="5" t="s">
        <v>72</v>
      </c>
      <c r="K30" s="5" t="s">
        <v>3</v>
      </c>
      <c r="L30" s="5" t="s">
        <v>30</v>
      </c>
      <c r="M30" s="6">
        <v>45214</v>
      </c>
      <c r="N30" s="5">
        <v>119.98</v>
      </c>
      <c r="S30" t="str">
        <v>TRX0193</v>
      </c>
      <c r="T30">
        <v>45403</v>
      </c>
      <c r="U30" t="str">
        <v>CUST024</v>
      </c>
      <c r="V30" t="str">
        <v>Dorothy Nelson</v>
      </c>
      <c r="W30" t="str">
        <v>P003</v>
      </c>
      <c r="X30" t="str">
        <v>Headphones</v>
      </c>
      <c r="Y30" t="str">
        <v>Electronics</v>
      </c>
      <c r="Z30">
        <v>5</v>
      </c>
      <c r="AA30">
        <v>149.99</v>
      </c>
      <c r="AB30" t="str">
        <v>Credit Card</v>
      </c>
      <c r="AC30" t="str">
        <v>Central</v>
      </c>
      <c r="AD30" t="str">
        <v>Standard</v>
      </c>
      <c r="AE30">
        <v>44418</v>
      </c>
      <c r="AF30">
        <v>749.95</v>
      </c>
    </row>
    <row r="31" spans="1:32" ht="15.75" customHeight="1">
      <c r="A31" s="5" t="s">
        <v>133</v>
      </c>
      <c r="B31" s="6">
        <v>45427</v>
      </c>
      <c r="C31" s="5" t="s">
        <v>134</v>
      </c>
      <c r="D31" s="5" t="s">
        <v>135</v>
      </c>
      <c r="E31" s="5" t="s">
        <v>55</v>
      </c>
      <c r="F31" s="5" t="s">
        <v>17</v>
      </c>
      <c r="G31" s="5" t="s">
        <v>10</v>
      </c>
      <c r="H31" s="5">
        <v>4</v>
      </c>
      <c r="I31" s="5">
        <v>59.99</v>
      </c>
      <c r="J31" s="5" t="s">
        <v>72</v>
      </c>
      <c r="K31" s="5" t="s">
        <v>4</v>
      </c>
      <c r="L31" s="5" t="s">
        <v>30</v>
      </c>
      <c r="M31" s="6">
        <v>44867</v>
      </c>
      <c r="N31" s="5">
        <v>239.96</v>
      </c>
      <c r="S31" t="str">
        <v>TRX0135</v>
      </c>
      <c r="T31">
        <v>45405</v>
      </c>
      <c r="U31" t="str">
        <v>CUST009</v>
      </c>
      <c r="V31" t="str">
        <v>Robert Thomas</v>
      </c>
      <c r="W31" t="str">
        <v>P001</v>
      </c>
      <c r="X31" t="str">
        <v>Laptop</v>
      </c>
      <c r="Y31" t="str">
        <v>Electronics</v>
      </c>
      <c r="Z31">
        <v>3</v>
      </c>
      <c r="AA31">
        <v>899.99</v>
      </c>
      <c r="AB31" t="str">
        <v>PayPal</v>
      </c>
      <c r="AC31" t="str">
        <v>East</v>
      </c>
      <c r="AD31" t="str">
        <v>Standard</v>
      </c>
      <c r="AE31">
        <v>45299</v>
      </c>
      <c r="AF31">
        <v>2699.97</v>
      </c>
    </row>
    <row r="32" spans="1:32" ht="15.75" customHeight="1">
      <c r="A32" s="5" t="s">
        <v>136</v>
      </c>
      <c r="B32" s="6">
        <v>45427</v>
      </c>
      <c r="C32" s="5" t="s">
        <v>70</v>
      </c>
      <c r="D32" s="5" t="s">
        <v>71</v>
      </c>
      <c r="E32" s="5" t="s">
        <v>137</v>
      </c>
      <c r="F32" s="5" t="s">
        <v>25</v>
      </c>
      <c r="G32" s="5" t="s">
        <v>12</v>
      </c>
      <c r="H32" s="5">
        <v>5</v>
      </c>
      <c r="I32" s="5">
        <v>199.99</v>
      </c>
      <c r="J32" s="5" t="s">
        <v>47</v>
      </c>
      <c r="K32" s="5" t="s">
        <v>6</v>
      </c>
      <c r="L32" s="5" t="s">
        <v>30</v>
      </c>
      <c r="M32" s="6">
        <v>44412</v>
      </c>
      <c r="N32" s="5">
        <v>999.95</v>
      </c>
      <c r="S32" t="str">
        <v>TRX0191</v>
      </c>
      <c r="T32">
        <v>45409</v>
      </c>
      <c r="U32" t="str">
        <v>CUST038</v>
      </c>
      <c r="V32" t="str">
        <v>Michelle Rogers</v>
      </c>
      <c r="W32" t="str">
        <v>P002</v>
      </c>
      <c r="X32" t="str">
        <v>Smartphone</v>
      </c>
      <c r="Y32" t="str">
        <v>Electronics</v>
      </c>
      <c r="Z32">
        <v>3</v>
      </c>
      <c r="AA32">
        <v>699.99</v>
      </c>
      <c r="AB32" t="str">
        <v>Credit Card</v>
      </c>
      <c r="AC32" t="str">
        <v>West</v>
      </c>
      <c r="AD32" t="str">
        <v>Basic</v>
      </c>
      <c r="AE32">
        <v>44577</v>
      </c>
      <c r="AF32">
        <v>2099.9699999999998</v>
      </c>
    </row>
    <row r="33" spans="1:32" ht="15.75" customHeight="1">
      <c r="A33" s="5" t="s">
        <v>138</v>
      </c>
      <c r="B33" s="6">
        <v>45428</v>
      </c>
      <c r="C33" s="5" t="s">
        <v>139</v>
      </c>
      <c r="D33" s="5" t="s">
        <v>140</v>
      </c>
      <c r="E33" s="5" t="s">
        <v>63</v>
      </c>
      <c r="F33" s="5" t="s">
        <v>18</v>
      </c>
      <c r="G33" s="5" t="s">
        <v>12</v>
      </c>
      <c r="H33" s="5">
        <v>2</v>
      </c>
      <c r="I33" s="5">
        <v>149.99</v>
      </c>
      <c r="J33" s="5" t="s">
        <v>51</v>
      </c>
      <c r="K33" s="5" t="s">
        <v>7</v>
      </c>
      <c r="L33" s="5" t="s">
        <v>28</v>
      </c>
      <c r="M33" s="6">
        <v>44823</v>
      </c>
      <c r="N33" s="5">
        <v>299.98</v>
      </c>
      <c r="S33" t="str">
        <v>TRX0230</v>
      </c>
      <c r="T33">
        <v>45409</v>
      </c>
      <c r="U33" t="str">
        <v>CUST027</v>
      </c>
      <c r="V33" t="str">
        <v>George Adams</v>
      </c>
      <c r="W33" t="str">
        <v>P001</v>
      </c>
      <c r="X33" t="str">
        <v>Laptop</v>
      </c>
      <c r="Y33" t="str">
        <v>Electronics</v>
      </c>
      <c r="Z33">
        <v>1</v>
      </c>
      <c r="AA33">
        <v>899.99</v>
      </c>
      <c r="AB33" t="str">
        <v>Debit Card</v>
      </c>
      <c r="AC33" t="str">
        <v>North</v>
      </c>
      <c r="AD33" t="str">
        <v>Standard</v>
      </c>
      <c r="AE33">
        <v>44920</v>
      </c>
      <c r="AF33">
        <v>899.99</v>
      </c>
    </row>
    <row r="34" spans="1:32" ht="15.75" customHeight="1">
      <c r="A34" s="5" t="s">
        <v>141</v>
      </c>
      <c r="B34" s="6">
        <v>45430</v>
      </c>
      <c r="C34" s="5" t="s">
        <v>142</v>
      </c>
      <c r="D34" s="5" t="s">
        <v>143</v>
      </c>
      <c r="E34" s="5" t="s">
        <v>63</v>
      </c>
      <c r="F34" s="5" t="s">
        <v>18</v>
      </c>
      <c r="G34" s="5" t="s">
        <v>12</v>
      </c>
      <c r="H34" s="5">
        <v>3</v>
      </c>
      <c r="I34" s="5">
        <v>149.99</v>
      </c>
      <c r="J34" s="5" t="s">
        <v>51</v>
      </c>
      <c r="K34" s="5" t="s">
        <v>7</v>
      </c>
      <c r="L34" s="5" t="s">
        <v>29</v>
      </c>
      <c r="M34" s="6">
        <v>45068</v>
      </c>
      <c r="N34" s="5">
        <v>449.97</v>
      </c>
      <c r="S34" t="str">
        <v>TRX0134</v>
      </c>
      <c r="T34">
        <v>45410</v>
      </c>
      <c r="U34" t="str">
        <v>CUST010</v>
      </c>
      <c r="V34" t="str">
        <v>Maria Garcia</v>
      </c>
      <c r="W34" t="str">
        <v>P002</v>
      </c>
      <c r="X34" t="str">
        <v>Smartphone</v>
      </c>
      <c r="Y34" t="str">
        <v>Electronics</v>
      </c>
      <c r="Z34">
        <v>2</v>
      </c>
      <c r="AA34">
        <v>699.99</v>
      </c>
      <c r="AB34" t="str">
        <v>Cash</v>
      </c>
      <c r="AC34" t="str">
        <v>North</v>
      </c>
      <c r="AD34" t="str">
        <v>Basic</v>
      </c>
      <c r="AE34">
        <v>44781</v>
      </c>
      <c r="AF34">
        <v>1399.98</v>
      </c>
    </row>
    <row r="35" spans="1:32" ht="15.75" customHeight="1">
      <c r="A35" s="5" t="s">
        <v>144</v>
      </c>
      <c r="B35" s="6">
        <v>45432</v>
      </c>
      <c r="C35" s="5" t="s">
        <v>53</v>
      </c>
      <c r="D35" s="5" t="s">
        <v>54</v>
      </c>
      <c r="E35" s="5" t="s">
        <v>76</v>
      </c>
      <c r="F35" s="5" t="s">
        <v>23</v>
      </c>
      <c r="G35" s="5" t="s">
        <v>11</v>
      </c>
      <c r="H35" s="5">
        <v>1</v>
      </c>
      <c r="I35" s="5">
        <v>899.99</v>
      </c>
      <c r="J35" s="5" t="s">
        <v>51</v>
      </c>
      <c r="K35" s="5" t="s">
        <v>7</v>
      </c>
      <c r="L35" s="5" t="s">
        <v>29</v>
      </c>
      <c r="M35" s="6">
        <v>44578</v>
      </c>
      <c r="N35" s="5">
        <v>899.99</v>
      </c>
      <c r="S35" t="str">
        <v>TRX0122</v>
      </c>
      <c r="T35">
        <v>45410</v>
      </c>
      <c r="U35" t="str">
        <v>CUST025</v>
      </c>
      <c r="V35" t="str">
        <v>Mark Carter</v>
      </c>
      <c r="W35" t="str">
        <v>P001</v>
      </c>
      <c r="X35" t="str">
        <v>Laptop</v>
      </c>
      <c r="Y35" t="str">
        <v>Electronics</v>
      </c>
      <c r="Z35">
        <v>4</v>
      </c>
      <c r="AA35">
        <v>899.99</v>
      </c>
      <c r="AB35" t="str">
        <v>Credit Card</v>
      </c>
      <c r="AC35" t="str">
        <v>West</v>
      </c>
      <c r="AD35" t="str">
        <v>Standard</v>
      </c>
      <c r="AE35">
        <v>45327</v>
      </c>
      <c r="AF35">
        <v>3599.96</v>
      </c>
    </row>
    <row r="36" spans="1:32" ht="15.75" customHeight="1">
      <c r="A36" s="5" t="s">
        <v>145</v>
      </c>
      <c r="B36" s="6">
        <v>45434</v>
      </c>
      <c r="C36" s="5" t="s">
        <v>112</v>
      </c>
      <c r="D36" s="5" t="s">
        <v>113</v>
      </c>
      <c r="E36" s="5" t="s">
        <v>118</v>
      </c>
      <c r="F36" s="5" t="s">
        <v>20</v>
      </c>
      <c r="G36" s="5" t="s">
        <v>12</v>
      </c>
      <c r="H36" s="5">
        <v>3</v>
      </c>
      <c r="I36" s="5">
        <v>299.99</v>
      </c>
      <c r="J36" s="5" t="s">
        <v>51</v>
      </c>
      <c r="K36" s="5" t="s">
        <v>4</v>
      </c>
      <c r="L36" s="5" t="s">
        <v>28</v>
      </c>
      <c r="M36" s="6">
        <v>44824</v>
      </c>
      <c r="N36" s="5">
        <v>899.97</v>
      </c>
      <c r="S36" t="str">
        <v>TRX0222</v>
      </c>
      <c r="T36">
        <v>45410</v>
      </c>
      <c r="U36" t="str">
        <v>CUST048</v>
      </c>
      <c r="V36" t="str">
        <v>Virginia Sanders</v>
      </c>
      <c r="W36" t="str">
        <v>P009</v>
      </c>
      <c r="X36" t="str">
        <v>Monitor</v>
      </c>
      <c r="Y36" t="str">
        <v>Electronics</v>
      </c>
      <c r="Z36">
        <v>3</v>
      </c>
      <c r="AA36">
        <v>249.99</v>
      </c>
      <c r="AB36" t="str">
        <v>Credit Card</v>
      </c>
      <c r="AC36" t="str">
        <v>North</v>
      </c>
      <c r="AD36" t="str">
        <v>Premium</v>
      </c>
      <c r="AE36">
        <v>45224</v>
      </c>
      <c r="AF36">
        <v>749.97</v>
      </c>
    </row>
    <row r="37" spans="1:32" ht="15.75" customHeight="1">
      <c r="A37" s="5" t="s">
        <v>146</v>
      </c>
      <c r="B37" s="6">
        <v>45435</v>
      </c>
      <c r="C37" s="5" t="s">
        <v>139</v>
      </c>
      <c r="D37" s="5" t="s">
        <v>140</v>
      </c>
      <c r="E37" s="5" t="s">
        <v>127</v>
      </c>
      <c r="F37" s="5" t="s">
        <v>19</v>
      </c>
      <c r="G37" s="5" t="s">
        <v>10</v>
      </c>
      <c r="H37" s="5">
        <v>3</v>
      </c>
      <c r="I37" s="5">
        <v>79.989999999999995</v>
      </c>
      <c r="J37" s="5" t="s">
        <v>47</v>
      </c>
      <c r="K37" s="5" t="s">
        <v>6</v>
      </c>
      <c r="L37" s="5" t="s">
        <v>28</v>
      </c>
      <c r="M37" s="6">
        <v>45046</v>
      </c>
      <c r="N37" s="5">
        <v>239.97</v>
      </c>
      <c r="S37" t="str">
        <v>TRX0231</v>
      </c>
      <c r="T37">
        <v>45412</v>
      </c>
      <c r="U37" t="str">
        <v>CUST018</v>
      </c>
      <c r="V37" t="str">
        <v>Barbara Young</v>
      </c>
      <c r="W37" t="str">
        <v>P002</v>
      </c>
      <c r="X37" t="str">
        <v>Smartphone</v>
      </c>
      <c r="Y37" t="str">
        <v>Electronics</v>
      </c>
      <c r="Z37">
        <v>5</v>
      </c>
      <c r="AA37">
        <v>699.99</v>
      </c>
      <c r="AB37" t="str">
        <v>Cash</v>
      </c>
      <c r="AC37" t="str">
        <v>West</v>
      </c>
      <c r="AD37" t="str">
        <v>Basic</v>
      </c>
      <c r="AE37">
        <v>45167</v>
      </c>
      <c r="AF37">
        <v>3499.95</v>
      </c>
    </row>
    <row r="38" spans="1:32" ht="15.75" customHeight="1">
      <c r="A38" s="5" t="s">
        <v>147</v>
      </c>
      <c r="B38" s="6">
        <v>45438</v>
      </c>
      <c r="C38" s="5" t="s">
        <v>148</v>
      </c>
      <c r="D38" s="5" t="s">
        <v>149</v>
      </c>
      <c r="E38" s="5" t="s">
        <v>137</v>
      </c>
      <c r="F38" s="5" t="s">
        <v>25</v>
      </c>
      <c r="G38" s="5" t="s">
        <v>12</v>
      </c>
      <c r="H38" s="5">
        <v>3</v>
      </c>
      <c r="I38" s="5">
        <v>199.99</v>
      </c>
      <c r="J38" s="5" t="s">
        <v>51</v>
      </c>
      <c r="K38" s="5" t="s">
        <v>5</v>
      </c>
      <c r="L38" s="5" t="s">
        <v>29</v>
      </c>
      <c r="M38" s="6">
        <v>45292</v>
      </c>
      <c r="N38" s="5">
        <v>599.97</v>
      </c>
      <c r="S38" t="str">
        <v>TRX0239</v>
      </c>
      <c r="T38">
        <v>45413</v>
      </c>
      <c r="U38" t="str">
        <v>CUST012</v>
      </c>
      <c r="V38" t="str">
        <v>Patricia Moore</v>
      </c>
      <c r="W38" t="str">
        <v>P002</v>
      </c>
      <c r="X38" t="str">
        <v>Smartphone</v>
      </c>
      <c r="Y38" t="str">
        <v>Electronics</v>
      </c>
      <c r="Z38">
        <v>4</v>
      </c>
      <c r="AA38">
        <v>699.99</v>
      </c>
      <c r="AB38" t="str">
        <v>Cash</v>
      </c>
      <c r="AC38" t="str">
        <v>East</v>
      </c>
      <c r="AD38" t="str">
        <v>Standard</v>
      </c>
      <c r="AE38">
        <v>44409</v>
      </c>
      <c r="AF38">
        <v>2799.96</v>
      </c>
    </row>
    <row r="39" spans="1:32" ht="15.75" customHeight="1">
      <c r="A39" s="5" t="s">
        <v>150</v>
      </c>
      <c r="B39" s="6">
        <v>45440</v>
      </c>
      <c r="C39" s="5" t="s">
        <v>151</v>
      </c>
      <c r="D39" s="5" t="s">
        <v>152</v>
      </c>
      <c r="E39" s="5" t="s">
        <v>94</v>
      </c>
      <c r="F39" s="5" t="s">
        <v>26</v>
      </c>
      <c r="G39" s="5" t="s">
        <v>11</v>
      </c>
      <c r="H39" s="5">
        <v>5</v>
      </c>
      <c r="I39" s="5">
        <v>699.99</v>
      </c>
      <c r="J39" s="5" t="s">
        <v>56</v>
      </c>
      <c r="K39" s="5" t="s">
        <v>7</v>
      </c>
      <c r="L39" s="5" t="s">
        <v>30</v>
      </c>
      <c r="M39" s="6">
        <v>44407</v>
      </c>
      <c r="N39" s="5">
        <v>3499.95</v>
      </c>
      <c r="S39" t="str">
        <v>TRX0204</v>
      </c>
      <c r="T39">
        <v>45415</v>
      </c>
      <c r="U39" t="str">
        <v>CUST044</v>
      </c>
      <c r="V39" t="str">
        <v>Cynthia Price</v>
      </c>
      <c r="W39" t="str">
        <v>P009</v>
      </c>
      <c r="X39" t="str">
        <v>Monitor</v>
      </c>
      <c r="Y39" t="str">
        <v>Electronics</v>
      </c>
      <c r="Z39">
        <v>4</v>
      </c>
      <c r="AA39">
        <v>249.99</v>
      </c>
      <c r="AB39" t="str">
        <v>PayPal</v>
      </c>
      <c r="AC39" t="str">
        <v>North</v>
      </c>
      <c r="AD39" t="str">
        <v>Standard</v>
      </c>
      <c r="AE39">
        <v>44468</v>
      </c>
      <c r="AF39">
        <v>999.96</v>
      </c>
    </row>
    <row r="40" spans="1:32" ht="15.75" customHeight="1">
      <c r="A40" s="5" t="s">
        <v>153</v>
      </c>
      <c r="B40" s="6">
        <v>45441</v>
      </c>
      <c r="C40" s="5" t="s">
        <v>154</v>
      </c>
      <c r="D40" s="5" t="s">
        <v>155</v>
      </c>
      <c r="E40" s="5" t="s">
        <v>129</v>
      </c>
      <c r="F40" s="5" t="s">
        <v>22</v>
      </c>
      <c r="G40" s="5" t="s">
        <v>11</v>
      </c>
      <c r="H40" s="5">
        <v>3</v>
      </c>
      <c r="I40" s="5">
        <v>89.99</v>
      </c>
      <c r="J40" s="5" t="s">
        <v>56</v>
      </c>
      <c r="K40" s="5" t="s">
        <v>3</v>
      </c>
      <c r="L40" s="5" t="s">
        <v>29</v>
      </c>
      <c r="M40" s="6">
        <v>45120</v>
      </c>
      <c r="N40" s="5">
        <v>269.97000000000003</v>
      </c>
      <c r="S40" t="str">
        <v>TRX0071</v>
      </c>
      <c r="T40">
        <v>45422</v>
      </c>
      <c r="U40" t="str">
        <v>CUST036</v>
      </c>
      <c r="V40" t="str">
        <v>Nancy Collins</v>
      </c>
      <c r="W40" t="str">
        <v>P009</v>
      </c>
      <c r="X40" t="str">
        <v>Monitor</v>
      </c>
      <c r="Y40" t="str">
        <v>Electronics</v>
      </c>
      <c r="Z40">
        <v>5</v>
      </c>
      <c r="AA40">
        <v>249.99</v>
      </c>
      <c r="AB40" t="str">
        <v>Credit Card</v>
      </c>
      <c r="AC40" t="str">
        <v>West</v>
      </c>
      <c r="AD40" t="str">
        <v>Standard</v>
      </c>
      <c r="AE40">
        <v>44525</v>
      </c>
      <c r="AF40">
        <v>1249.95</v>
      </c>
    </row>
    <row r="41" spans="1:32" ht="15.75" customHeight="1">
      <c r="A41" s="5" t="s">
        <v>156</v>
      </c>
      <c r="B41" s="6">
        <v>45443</v>
      </c>
      <c r="C41" s="5" t="s">
        <v>157</v>
      </c>
      <c r="D41" s="5" t="s">
        <v>158</v>
      </c>
      <c r="E41" s="5" t="s">
        <v>127</v>
      </c>
      <c r="F41" s="5" t="s">
        <v>19</v>
      </c>
      <c r="G41" s="5" t="s">
        <v>10</v>
      </c>
      <c r="H41" s="5">
        <v>1</v>
      </c>
      <c r="I41" s="5">
        <v>79.989999999999995</v>
      </c>
      <c r="J41" s="5" t="s">
        <v>47</v>
      </c>
      <c r="K41" s="5" t="s">
        <v>5</v>
      </c>
      <c r="L41" s="5" t="s">
        <v>30</v>
      </c>
      <c r="M41" s="6">
        <v>44917</v>
      </c>
      <c r="N41" s="5">
        <v>79.989999999999995</v>
      </c>
      <c r="S41" t="str">
        <v>TRX0004</v>
      </c>
      <c r="T41">
        <v>45424</v>
      </c>
      <c r="U41" t="str">
        <v>CUST012</v>
      </c>
      <c r="V41" t="str">
        <v>Patricia Moore</v>
      </c>
      <c r="W41" t="str">
        <v>P010</v>
      </c>
      <c r="X41" t="str">
        <v>Keyboard</v>
      </c>
      <c r="Y41" t="str">
        <v>Electronics</v>
      </c>
      <c r="Z41">
        <v>5</v>
      </c>
      <c r="AA41">
        <v>89.99</v>
      </c>
      <c r="AB41" t="str">
        <v>Cash</v>
      </c>
      <c r="AC41" t="str">
        <v>North</v>
      </c>
      <c r="AD41" t="str">
        <v>Premium</v>
      </c>
      <c r="AE41">
        <v>44919</v>
      </c>
      <c r="AF41">
        <v>449.95</v>
      </c>
    </row>
    <row r="42" spans="1:32" ht="15.75" customHeight="1">
      <c r="A42" s="5" t="s">
        <v>159</v>
      </c>
      <c r="B42" s="6">
        <v>45444</v>
      </c>
      <c r="C42" s="5" t="s">
        <v>160</v>
      </c>
      <c r="D42" s="5" t="s">
        <v>161</v>
      </c>
      <c r="E42" s="5" t="s">
        <v>55</v>
      </c>
      <c r="F42" s="5" t="s">
        <v>17</v>
      </c>
      <c r="G42" s="5" t="s">
        <v>10</v>
      </c>
      <c r="H42" s="5">
        <v>2</v>
      </c>
      <c r="I42" s="5">
        <v>59.99</v>
      </c>
      <c r="J42" s="5" t="s">
        <v>47</v>
      </c>
      <c r="K42" s="5" t="s">
        <v>7</v>
      </c>
      <c r="L42" s="5" t="s">
        <v>28</v>
      </c>
      <c r="M42" s="6">
        <v>45390</v>
      </c>
      <c r="N42" s="5">
        <v>119.98</v>
      </c>
      <c r="S42" t="str">
        <v>TRX0041</v>
      </c>
      <c r="T42">
        <v>45432</v>
      </c>
      <c r="U42" t="str">
        <v>CUST021</v>
      </c>
      <c r="V42" t="str">
        <v>Kevin Scott</v>
      </c>
      <c r="W42" t="str">
        <v>P001</v>
      </c>
      <c r="X42" t="str">
        <v>Laptop</v>
      </c>
      <c r="Y42" t="str">
        <v>Electronics</v>
      </c>
      <c r="Z42">
        <v>1</v>
      </c>
      <c r="AA42">
        <v>899.99</v>
      </c>
      <c r="AB42" t="str">
        <v>Credit Card</v>
      </c>
      <c r="AC42" t="str">
        <v>West</v>
      </c>
      <c r="AD42" t="str">
        <v>Premium</v>
      </c>
      <c r="AE42">
        <v>44578</v>
      </c>
      <c r="AF42">
        <v>899.99</v>
      </c>
    </row>
    <row r="43" spans="1:32" ht="15.75" customHeight="1">
      <c r="A43" s="5" t="s">
        <v>162</v>
      </c>
      <c r="B43" s="6">
        <v>45444</v>
      </c>
      <c r="C43" s="5" t="s">
        <v>70</v>
      </c>
      <c r="D43" s="5" t="s">
        <v>71</v>
      </c>
      <c r="E43" s="5" t="s">
        <v>129</v>
      </c>
      <c r="F43" s="5" t="s">
        <v>22</v>
      </c>
      <c r="G43" s="5" t="s">
        <v>11</v>
      </c>
      <c r="H43" s="5">
        <v>1</v>
      </c>
      <c r="I43" s="5">
        <v>89.99</v>
      </c>
      <c r="J43" s="5" t="s">
        <v>47</v>
      </c>
      <c r="K43" s="5" t="s">
        <v>5</v>
      </c>
      <c r="L43" s="5" t="s">
        <v>28</v>
      </c>
      <c r="M43" s="6">
        <v>45141</v>
      </c>
      <c r="N43" s="5">
        <v>89.99</v>
      </c>
      <c r="S43" t="str">
        <v>TRX0015</v>
      </c>
      <c r="T43">
        <v>45440</v>
      </c>
      <c r="U43" t="str">
        <v>CUST008</v>
      </c>
      <c r="V43" t="str">
        <v>Jennifer Taylor</v>
      </c>
      <c r="W43" t="str">
        <v>P002</v>
      </c>
      <c r="X43" t="str">
        <v>Smartphone</v>
      </c>
      <c r="Y43" t="str">
        <v>Electronics</v>
      </c>
      <c r="Z43">
        <v>5</v>
      </c>
      <c r="AA43">
        <v>699.99</v>
      </c>
      <c r="AB43" t="str">
        <v>PayPal</v>
      </c>
      <c r="AC43" t="str">
        <v>West</v>
      </c>
      <c r="AD43" t="str">
        <v>Standard</v>
      </c>
      <c r="AE43">
        <v>44407</v>
      </c>
      <c r="AF43">
        <v>3499.95</v>
      </c>
    </row>
    <row r="44" spans="1:32" ht="15.75" customHeight="1">
      <c r="A44" s="5" t="s">
        <v>163</v>
      </c>
      <c r="B44" s="6">
        <v>45446</v>
      </c>
      <c r="C44" s="5" t="s">
        <v>164</v>
      </c>
      <c r="D44" s="5" t="s">
        <v>165</v>
      </c>
      <c r="E44" s="5" t="s">
        <v>129</v>
      </c>
      <c r="F44" s="5" t="s">
        <v>22</v>
      </c>
      <c r="G44" s="5" t="s">
        <v>11</v>
      </c>
      <c r="H44" s="5">
        <v>5</v>
      </c>
      <c r="I44" s="5">
        <v>89.99</v>
      </c>
      <c r="J44" s="5" t="s">
        <v>51</v>
      </c>
      <c r="K44" s="5" t="s">
        <v>4</v>
      </c>
      <c r="L44" s="5" t="s">
        <v>30</v>
      </c>
      <c r="M44" s="6">
        <v>44587</v>
      </c>
      <c r="N44" s="5">
        <v>449.95</v>
      </c>
      <c r="S44" t="str">
        <v>TRX0202</v>
      </c>
      <c r="T44">
        <v>45441</v>
      </c>
      <c r="U44" t="str">
        <v>CUST035</v>
      </c>
      <c r="V44" t="str">
        <v>Harry Morgan</v>
      </c>
      <c r="W44" t="str">
        <v>P010</v>
      </c>
      <c r="X44" t="str">
        <v>Keyboard</v>
      </c>
      <c r="Y44" t="str">
        <v>Electronics</v>
      </c>
      <c r="Z44">
        <v>3</v>
      </c>
      <c r="AA44">
        <v>89.99</v>
      </c>
      <c r="AB44" t="str">
        <v>PayPal</v>
      </c>
      <c r="AC44" t="str">
        <v>Central</v>
      </c>
      <c r="AD44" t="str">
        <v>Premium</v>
      </c>
      <c r="AE44">
        <v>45120</v>
      </c>
      <c r="AF44">
        <v>269.97000000000003</v>
      </c>
    </row>
    <row r="45" spans="1:32" ht="15.75" customHeight="1">
      <c r="A45" s="5" t="s">
        <v>166</v>
      </c>
      <c r="B45" s="6">
        <v>45449</v>
      </c>
      <c r="C45" s="5" t="s">
        <v>49</v>
      </c>
      <c r="D45" s="5" t="s">
        <v>50</v>
      </c>
      <c r="E45" s="5" t="s">
        <v>46</v>
      </c>
      <c r="F45" s="5" t="s">
        <v>24</v>
      </c>
      <c r="G45" s="5" t="s">
        <v>11</v>
      </c>
      <c r="H45" s="5">
        <v>5</v>
      </c>
      <c r="I45" s="5">
        <v>249.99</v>
      </c>
      <c r="J45" s="5" t="s">
        <v>51</v>
      </c>
      <c r="K45" s="5" t="s">
        <v>4</v>
      </c>
      <c r="L45" s="5" t="s">
        <v>30</v>
      </c>
      <c r="M45" s="6">
        <v>44707</v>
      </c>
      <c r="N45" s="5">
        <v>1249.95</v>
      </c>
      <c r="S45" t="str">
        <v>TRX0117</v>
      </c>
      <c r="T45">
        <v>45444</v>
      </c>
      <c r="U45" t="str">
        <v>CUST017</v>
      </c>
      <c r="V45" t="str">
        <v>Charles Allen</v>
      </c>
      <c r="W45" t="str">
        <v>P010</v>
      </c>
      <c r="X45" t="str">
        <v>Keyboard</v>
      </c>
      <c r="Y45" t="str">
        <v>Electronics</v>
      </c>
      <c r="Z45">
        <v>1</v>
      </c>
      <c r="AA45">
        <v>89.99</v>
      </c>
      <c r="AB45" t="str">
        <v>Cash</v>
      </c>
      <c r="AC45" t="str">
        <v>North</v>
      </c>
      <c r="AD45" t="str">
        <v>Basic</v>
      </c>
      <c r="AE45">
        <v>45141</v>
      </c>
      <c r="AF45">
        <v>89.99</v>
      </c>
    </row>
    <row r="46" spans="1:32" ht="15.75" customHeight="1">
      <c r="A46" s="5" t="s">
        <v>167</v>
      </c>
      <c r="B46" s="6">
        <v>45449</v>
      </c>
      <c r="C46" s="5" t="s">
        <v>168</v>
      </c>
      <c r="D46" s="5" t="s">
        <v>169</v>
      </c>
      <c r="E46" s="5" t="s">
        <v>129</v>
      </c>
      <c r="F46" s="5" t="s">
        <v>22</v>
      </c>
      <c r="G46" s="5" t="s">
        <v>11</v>
      </c>
      <c r="H46" s="5">
        <v>1</v>
      </c>
      <c r="I46" s="5">
        <v>89.99</v>
      </c>
      <c r="J46" s="5" t="s">
        <v>51</v>
      </c>
      <c r="K46" s="5" t="s">
        <v>6</v>
      </c>
      <c r="L46" s="5" t="s">
        <v>30</v>
      </c>
      <c r="M46" s="6">
        <v>44582</v>
      </c>
      <c r="N46" s="5">
        <v>89.99</v>
      </c>
      <c r="S46" t="str">
        <v>TRX0208</v>
      </c>
      <c r="T46">
        <v>45446</v>
      </c>
      <c r="U46" t="str">
        <v>CUST004</v>
      </c>
      <c r="V46" t="str">
        <v>Sarah Davis</v>
      </c>
      <c r="W46" t="str">
        <v>P010</v>
      </c>
      <c r="X46" t="str">
        <v>Keyboard</v>
      </c>
      <c r="Y46" t="str">
        <v>Electronics</v>
      </c>
      <c r="Z46">
        <v>5</v>
      </c>
      <c r="AA46">
        <v>89.99</v>
      </c>
      <c r="AB46" t="str">
        <v>Credit Card</v>
      </c>
      <c r="AC46" t="str">
        <v>East</v>
      </c>
      <c r="AD46" t="str">
        <v>Standard</v>
      </c>
      <c r="AE46">
        <v>44587</v>
      </c>
      <c r="AF46">
        <v>449.95</v>
      </c>
    </row>
    <row r="47" spans="1:32" ht="15.75" customHeight="1">
      <c r="A47" s="5" t="s">
        <v>170</v>
      </c>
      <c r="B47" s="6">
        <v>45450</v>
      </c>
      <c r="C47" s="5" t="s">
        <v>61</v>
      </c>
      <c r="D47" s="5" t="s">
        <v>62</v>
      </c>
      <c r="E47" s="5" t="s">
        <v>63</v>
      </c>
      <c r="F47" s="5" t="s">
        <v>18</v>
      </c>
      <c r="G47" s="5" t="s">
        <v>12</v>
      </c>
      <c r="H47" s="5">
        <v>2</v>
      </c>
      <c r="I47" s="5">
        <v>149.99</v>
      </c>
      <c r="J47" s="5" t="s">
        <v>47</v>
      </c>
      <c r="K47" s="5" t="s">
        <v>4</v>
      </c>
      <c r="L47" s="5" t="s">
        <v>29</v>
      </c>
      <c r="M47" s="6">
        <v>44645</v>
      </c>
      <c r="N47" s="5">
        <v>299.98</v>
      </c>
      <c r="S47" t="str">
        <v>TRX0234</v>
      </c>
      <c r="T47">
        <v>45449</v>
      </c>
      <c r="U47" t="str">
        <v>CUST013</v>
      </c>
      <c r="V47" t="str">
        <v>Joseph Jackson</v>
      </c>
      <c r="W47" t="str">
        <v>P009</v>
      </c>
      <c r="X47" t="str">
        <v>Monitor</v>
      </c>
      <c r="Y47" t="str">
        <v>Electronics</v>
      </c>
      <c r="Z47">
        <v>5</v>
      </c>
      <c r="AA47">
        <v>249.99</v>
      </c>
      <c r="AB47" t="str">
        <v>Credit Card</v>
      </c>
      <c r="AC47" t="str">
        <v>East</v>
      </c>
      <c r="AD47" t="str">
        <v>Standard</v>
      </c>
      <c r="AE47">
        <v>44707</v>
      </c>
      <c r="AF47">
        <v>1249.95</v>
      </c>
    </row>
    <row r="48" spans="1:32" ht="15.75" customHeight="1">
      <c r="A48" s="5" t="s">
        <v>171</v>
      </c>
      <c r="B48" s="6">
        <v>45452</v>
      </c>
      <c r="C48" s="5" t="s">
        <v>172</v>
      </c>
      <c r="D48" s="5" t="s">
        <v>173</v>
      </c>
      <c r="E48" s="5" t="s">
        <v>55</v>
      </c>
      <c r="F48" s="5" t="s">
        <v>17</v>
      </c>
      <c r="G48" s="5" t="s">
        <v>10</v>
      </c>
      <c r="H48" s="5">
        <v>4</v>
      </c>
      <c r="I48" s="5">
        <v>59.99</v>
      </c>
      <c r="J48" s="5" t="s">
        <v>47</v>
      </c>
      <c r="K48" s="5" t="s">
        <v>4</v>
      </c>
      <c r="L48" s="5" t="s">
        <v>30</v>
      </c>
      <c r="M48" s="6">
        <v>44435</v>
      </c>
      <c r="N48" s="5">
        <v>239.96</v>
      </c>
      <c r="S48" t="str">
        <v>TRX0121</v>
      </c>
      <c r="T48">
        <v>45449</v>
      </c>
      <c r="U48" t="str">
        <v>CUST028</v>
      </c>
      <c r="V48" t="str">
        <v>Betty Campbell</v>
      </c>
      <c r="W48" t="str">
        <v>P010</v>
      </c>
      <c r="X48" t="str">
        <v>Keyboard</v>
      </c>
      <c r="Y48" t="str">
        <v>Electronics</v>
      </c>
      <c r="Z48">
        <v>1</v>
      </c>
      <c r="AA48">
        <v>89.99</v>
      </c>
      <c r="AB48" t="str">
        <v>Credit Card</v>
      </c>
      <c r="AC48" t="str">
        <v>South</v>
      </c>
      <c r="AD48" t="str">
        <v>Standard</v>
      </c>
      <c r="AE48">
        <v>44582</v>
      </c>
      <c r="AF48">
        <v>89.99</v>
      </c>
    </row>
    <row r="49" spans="1:32" ht="15.75" customHeight="1">
      <c r="A49" s="5" t="s">
        <v>174</v>
      </c>
      <c r="B49" s="6">
        <v>45456</v>
      </c>
      <c r="C49" s="5" t="s">
        <v>139</v>
      </c>
      <c r="D49" s="5" t="s">
        <v>140</v>
      </c>
      <c r="E49" s="5" t="s">
        <v>129</v>
      </c>
      <c r="F49" s="5" t="s">
        <v>22</v>
      </c>
      <c r="G49" s="5" t="s">
        <v>11</v>
      </c>
      <c r="H49" s="5">
        <v>5</v>
      </c>
      <c r="I49" s="5">
        <v>89.99</v>
      </c>
      <c r="J49" s="5" t="s">
        <v>47</v>
      </c>
      <c r="K49" s="5" t="s">
        <v>3</v>
      </c>
      <c r="L49" s="5" t="s">
        <v>29</v>
      </c>
      <c r="M49" s="6">
        <v>44579</v>
      </c>
      <c r="N49" s="5">
        <v>449.95</v>
      </c>
      <c r="S49" t="str">
        <v>TRX0088</v>
      </c>
      <c r="T49">
        <v>45456</v>
      </c>
      <c r="U49" t="str">
        <v>CUST006</v>
      </c>
      <c r="V49" t="str">
        <v>Lisa Anderson</v>
      </c>
      <c r="W49" t="str">
        <v>P010</v>
      </c>
      <c r="X49" t="str">
        <v>Keyboard</v>
      </c>
      <c r="Y49" t="str">
        <v>Electronics</v>
      </c>
      <c r="Z49">
        <v>5</v>
      </c>
      <c r="AA49">
        <v>89.99</v>
      </c>
      <c r="AB49" t="str">
        <v>Cash</v>
      </c>
      <c r="AC49" t="str">
        <v>Central</v>
      </c>
      <c r="AD49" t="str">
        <v>Premium</v>
      </c>
      <c r="AE49">
        <v>44579</v>
      </c>
      <c r="AF49">
        <v>449.95</v>
      </c>
    </row>
    <row r="50" spans="1:32" ht="15.75" customHeight="1">
      <c r="A50" s="5" t="s">
        <v>175</v>
      </c>
      <c r="B50" s="6">
        <v>45459</v>
      </c>
      <c r="C50" s="5" t="s">
        <v>112</v>
      </c>
      <c r="D50" s="5" t="s">
        <v>113</v>
      </c>
      <c r="E50" s="5" t="s">
        <v>129</v>
      </c>
      <c r="F50" s="5" t="s">
        <v>22</v>
      </c>
      <c r="G50" s="5" t="s">
        <v>11</v>
      </c>
      <c r="H50" s="5">
        <v>2</v>
      </c>
      <c r="I50" s="5">
        <v>89.99</v>
      </c>
      <c r="J50" s="5" t="s">
        <v>51</v>
      </c>
      <c r="K50" s="5" t="s">
        <v>6</v>
      </c>
      <c r="L50" s="5" t="s">
        <v>29</v>
      </c>
      <c r="M50" s="6">
        <v>44471</v>
      </c>
      <c r="N50" s="5">
        <v>179.98</v>
      </c>
      <c r="S50" t="str">
        <v>TRX0115</v>
      </c>
      <c r="T50">
        <v>45459</v>
      </c>
      <c r="U50" t="str">
        <v>CUST012</v>
      </c>
      <c r="V50" t="str">
        <v>Patricia Moore</v>
      </c>
      <c r="W50" t="str">
        <v>P010</v>
      </c>
      <c r="X50" t="str">
        <v>Keyboard</v>
      </c>
      <c r="Y50" t="str">
        <v>Electronics</v>
      </c>
      <c r="Z50">
        <v>2</v>
      </c>
      <c r="AA50">
        <v>89.99</v>
      </c>
      <c r="AB50" t="str">
        <v>Credit Card</v>
      </c>
      <c r="AC50" t="str">
        <v>South</v>
      </c>
      <c r="AD50" t="str">
        <v>Premium</v>
      </c>
      <c r="AE50">
        <v>44471</v>
      </c>
      <c r="AF50">
        <v>179.98</v>
      </c>
    </row>
    <row r="51" spans="1:32" ht="15.75" customHeight="1">
      <c r="A51" s="5" t="s">
        <v>176</v>
      </c>
      <c r="B51" s="6">
        <v>45459</v>
      </c>
      <c r="C51" s="5" t="s">
        <v>44</v>
      </c>
      <c r="D51" s="5" t="s">
        <v>45</v>
      </c>
      <c r="E51" s="5" t="s">
        <v>76</v>
      </c>
      <c r="F51" s="5" t="s">
        <v>23</v>
      </c>
      <c r="G51" s="5" t="s">
        <v>11</v>
      </c>
      <c r="H51" s="5">
        <v>5</v>
      </c>
      <c r="I51" s="5">
        <v>899.99</v>
      </c>
      <c r="J51" s="5" t="s">
        <v>51</v>
      </c>
      <c r="K51" s="5" t="s">
        <v>6</v>
      </c>
      <c r="L51" s="5" t="s">
        <v>30</v>
      </c>
      <c r="M51" s="6">
        <v>44974</v>
      </c>
      <c r="N51" s="5">
        <v>4499.95</v>
      </c>
      <c r="S51" t="str">
        <v>TRX0154</v>
      </c>
      <c r="T51">
        <v>45459</v>
      </c>
      <c r="U51" t="str">
        <v>CUST023</v>
      </c>
      <c r="V51" t="str">
        <v>Paul Baker</v>
      </c>
      <c r="W51" t="str">
        <v>P001</v>
      </c>
      <c r="X51" t="str">
        <v>Laptop</v>
      </c>
      <c r="Y51" t="str">
        <v>Electronics</v>
      </c>
      <c r="Z51">
        <v>5</v>
      </c>
      <c r="AA51">
        <v>899.99</v>
      </c>
      <c r="AB51" t="str">
        <v>Credit Card</v>
      </c>
      <c r="AC51" t="str">
        <v>South</v>
      </c>
      <c r="AD51" t="str">
        <v>Standard</v>
      </c>
      <c r="AE51">
        <v>44974</v>
      </c>
      <c r="AF51">
        <v>4499.95</v>
      </c>
    </row>
    <row r="52" spans="1:32" ht="15.75" customHeight="1">
      <c r="A52" s="5" t="s">
        <v>177</v>
      </c>
      <c r="B52" s="6">
        <v>45459</v>
      </c>
      <c r="C52" s="5" t="s">
        <v>134</v>
      </c>
      <c r="D52" s="5" t="s">
        <v>135</v>
      </c>
      <c r="E52" s="5" t="s">
        <v>76</v>
      </c>
      <c r="F52" s="5" t="s">
        <v>23</v>
      </c>
      <c r="G52" s="5" t="s">
        <v>11</v>
      </c>
      <c r="H52" s="5">
        <v>5</v>
      </c>
      <c r="I52" s="5">
        <v>899.99</v>
      </c>
      <c r="J52" s="5" t="s">
        <v>56</v>
      </c>
      <c r="K52" s="5" t="s">
        <v>4</v>
      </c>
      <c r="L52" s="5" t="s">
        <v>29</v>
      </c>
      <c r="M52" s="6">
        <v>45278</v>
      </c>
      <c r="N52" s="5">
        <v>4499.95</v>
      </c>
      <c r="S52" t="str">
        <v>TRX0044</v>
      </c>
      <c r="T52">
        <v>45459</v>
      </c>
      <c r="U52" t="str">
        <v>CUST029</v>
      </c>
      <c r="V52" t="str">
        <v>Edward Mitchell</v>
      </c>
      <c r="W52" t="str">
        <v>P001</v>
      </c>
      <c r="X52" t="str">
        <v>Laptop</v>
      </c>
      <c r="Y52" t="str">
        <v>Electronics</v>
      </c>
      <c r="Z52">
        <v>5</v>
      </c>
      <c r="AA52">
        <v>899.99</v>
      </c>
      <c r="AB52" t="str">
        <v>PayPal</v>
      </c>
      <c r="AC52" t="str">
        <v>East</v>
      </c>
      <c r="AD52" t="str">
        <v>Premium</v>
      </c>
      <c r="AE52">
        <v>45278</v>
      </c>
      <c r="AF52">
        <v>4499.95</v>
      </c>
    </row>
    <row r="53" spans="1:32" ht="15.75" customHeight="1">
      <c r="A53" s="5" t="s">
        <v>178</v>
      </c>
      <c r="B53" s="6">
        <v>45460</v>
      </c>
      <c r="C53" s="5" t="s">
        <v>168</v>
      </c>
      <c r="D53" s="5" t="s">
        <v>169</v>
      </c>
      <c r="E53" s="5" t="s">
        <v>55</v>
      </c>
      <c r="F53" s="5" t="s">
        <v>17</v>
      </c>
      <c r="G53" s="5" t="s">
        <v>10</v>
      </c>
      <c r="H53" s="5">
        <v>1</v>
      </c>
      <c r="I53" s="5">
        <v>59.99</v>
      </c>
      <c r="J53" s="5" t="s">
        <v>72</v>
      </c>
      <c r="K53" s="5" t="s">
        <v>7</v>
      </c>
      <c r="L53" s="5" t="s">
        <v>29</v>
      </c>
      <c r="M53" s="6">
        <v>45190</v>
      </c>
      <c r="N53" s="5">
        <v>59.99</v>
      </c>
      <c r="S53" t="str">
        <v>TRX0025</v>
      </c>
      <c r="T53">
        <v>45468</v>
      </c>
      <c r="U53" t="str">
        <v>CUST049</v>
      </c>
      <c r="V53" t="str">
        <v>Raymond Ross</v>
      </c>
      <c r="W53" t="str">
        <v>P010</v>
      </c>
      <c r="X53" t="str">
        <v>Keyboard</v>
      </c>
      <c r="Y53" t="str">
        <v>Electronics</v>
      </c>
      <c r="Z53">
        <v>4</v>
      </c>
      <c r="AA53">
        <v>89.99</v>
      </c>
      <c r="AB53" t="str">
        <v>Debit Card</v>
      </c>
      <c r="AC53" t="str">
        <v>South</v>
      </c>
      <c r="AD53" t="str">
        <v>Basic</v>
      </c>
      <c r="AE53">
        <v>45281</v>
      </c>
      <c r="AF53">
        <v>359.96</v>
      </c>
    </row>
    <row r="54" spans="1:32" ht="15.75" customHeight="1">
      <c r="A54" s="5" t="s">
        <v>179</v>
      </c>
      <c r="B54" s="6">
        <v>45460</v>
      </c>
      <c r="C54" s="5" t="s">
        <v>151</v>
      </c>
      <c r="D54" s="5" t="s">
        <v>152</v>
      </c>
      <c r="E54" s="5" t="s">
        <v>118</v>
      </c>
      <c r="F54" s="5" t="s">
        <v>20</v>
      </c>
      <c r="G54" s="5" t="s">
        <v>12</v>
      </c>
      <c r="H54" s="5">
        <v>2</v>
      </c>
      <c r="I54" s="5">
        <v>299.99</v>
      </c>
      <c r="J54" s="5" t="s">
        <v>72</v>
      </c>
      <c r="K54" s="5" t="s">
        <v>4</v>
      </c>
      <c r="L54" s="5" t="s">
        <v>30</v>
      </c>
      <c r="M54" s="6">
        <v>45253</v>
      </c>
      <c r="N54" s="5">
        <v>599.98</v>
      </c>
      <c r="S54" t="str">
        <v>TRX0007</v>
      </c>
      <c r="T54">
        <v>45469</v>
      </c>
      <c r="U54" t="str">
        <v>CUST009</v>
      </c>
      <c r="V54" t="str">
        <v>Robert Thomas</v>
      </c>
      <c r="W54" t="str">
        <v>P010</v>
      </c>
      <c r="X54" t="str">
        <v>Keyboard</v>
      </c>
      <c r="Y54" t="str">
        <v>Electronics</v>
      </c>
      <c r="Z54">
        <v>2</v>
      </c>
      <c r="AA54">
        <v>89.99</v>
      </c>
      <c r="AB54" t="str">
        <v>Cash</v>
      </c>
      <c r="AC54" t="str">
        <v>West</v>
      </c>
      <c r="AD54" t="str">
        <v>Basic</v>
      </c>
      <c r="AE54">
        <v>44438</v>
      </c>
      <c r="AF54">
        <v>179.98</v>
      </c>
    </row>
    <row r="55" spans="1:32" ht="15.75" customHeight="1">
      <c r="A55" s="5" t="s">
        <v>180</v>
      </c>
      <c r="B55" s="6">
        <v>45468</v>
      </c>
      <c r="C55" s="5" t="s">
        <v>181</v>
      </c>
      <c r="D55" s="5" t="s">
        <v>182</v>
      </c>
      <c r="E55" s="5" t="s">
        <v>129</v>
      </c>
      <c r="F55" s="5" t="s">
        <v>22</v>
      </c>
      <c r="G55" s="5" t="s">
        <v>11</v>
      </c>
      <c r="H55" s="5">
        <v>4</v>
      </c>
      <c r="I55" s="5">
        <v>89.99</v>
      </c>
      <c r="J55" s="5" t="s">
        <v>72</v>
      </c>
      <c r="K55" s="5" t="s">
        <v>6</v>
      </c>
      <c r="L55" s="5" t="s">
        <v>28</v>
      </c>
      <c r="M55" s="6">
        <v>45281</v>
      </c>
      <c r="N55" s="5">
        <v>359.96</v>
      </c>
      <c r="S55" t="str">
        <v>TRX0184</v>
      </c>
      <c r="T55">
        <v>45471</v>
      </c>
      <c r="U55" t="str">
        <v>CUST046</v>
      </c>
      <c r="V55" t="str">
        <v>Kathleen Bennett</v>
      </c>
      <c r="W55" t="str">
        <v>P002</v>
      </c>
      <c r="X55" t="str">
        <v>Smartphone</v>
      </c>
      <c r="Y55" t="str">
        <v>Electronics</v>
      </c>
      <c r="Z55">
        <v>3</v>
      </c>
      <c r="AA55">
        <v>699.99</v>
      </c>
      <c r="AB55" t="str">
        <v>Credit Card</v>
      </c>
      <c r="AC55" t="str">
        <v>East</v>
      </c>
      <c r="AD55" t="str">
        <v>Premium</v>
      </c>
      <c r="AE55">
        <v>45102</v>
      </c>
      <c r="AF55">
        <v>2099.9699999999998</v>
      </c>
    </row>
    <row r="56" spans="1:32" ht="15.75" customHeight="1">
      <c r="A56" s="5" t="s">
        <v>183</v>
      </c>
      <c r="B56" s="6">
        <v>45469</v>
      </c>
      <c r="C56" s="5" t="s">
        <v>53</v>
      </c>
      <c r="D56" s="5" t="s">
        <v>54</v>
      </c>
      <c r="E56" s="5" t="s">
        <v>127</v>
      </c>
      <c r="F56" s="5" t="s">
        <v>19</v>
      </c>
      <c r="G56" s="5" t="s">
        <v>10</v>
      </c>
      <c r="H56" s="5">
        <v>1</v>
      </c>
      <c r="I56" s="5">
        <v>79.989999999999995</v>
      </c>
      <c r="J56" s="5" t="s">
        <v>56</v>
      </c>
      <c r="K56" s="5" t="s">
        <v>3</v>
      </c>
      <c r="L56" s="5" t="s">
        <v>29</v>
      </c>
      <c r="M56" s="6">
        <v>45352</v>
      </c>
      <c r="N56" s="5">
        <v>79.989999999999995</v>
      </c>
      <c r="S56" t="str">
        <v>TRX0104</v>
      </c>
      <c r="T56">
        <v>45471</v>
      </c>
      <c r="U56" t="str">
        <v>CUST012</v>
      </c>
      <c r="V56" t="str">
        <v>Patricia Moore</v>
      </c>
      <c r="W56" t="str">
        <v>P001</v>
      </c>
      <c r="X56" t="str">
        <v>Laptop</v>
      </c>
      <c r="Y56" t="str">
        <v>Electronics</v>
      </c>
      <c r="Z56">
        <v>4</v>
      </c>
      <c r="AA56">
        <v>899.99</v>
      </c>
      <c r="AB56" t="str">
        <v>Credit Card</v>
      </c>
      <c r="AC56" t="str">
        <v>East</v>
      </c>
      <c r="AD56" t="str">
        <v>Premium</v>
      </c>
      <c r="AE56">
        <v>44993</v>
      </c>
      <c r="AF56">
        <v>3599.96</v>
      </c>
    </row>
    <row r="57" spans="1:32" ht="15.75" customHeight="1">
      <c r="A57" s="5" t="s">
        <v>184</v>
      </c>
      <c r="B57" s="6">
        <v>45469</v>
      </c>
      <c r="C57" s="5" t="s">
        <v>74</v>
      </c>
      <c r="D57" s="5" t="s">
        <v>75</v>
      </c>
      <c r="E57" s="5" t="s">
        <v>129</v>
      </c>
      <c r="F57" s="5" t="s">
        <v>22</v>
      </c>
      <c r="G57" s="5" t="s">
        <v>11</v>
      </c>
      <c r="H57" s="5">
        <v>2</v>
      </c>
      <c r="I57" s="5">
        <v>89.99</v>
      </c>
      <c r="J57" s="5" t="s">
        <v>47</v>
      </c>
      <c r="K57" s="5" t="s">
        <v>7</v>
      </c>
      <c r="L57" s="5" t="s">
        <v>28</v>
      </c>
      <c r="M57" s="6">
        <v>44438</v>
      </c>
      <c r="N57" s="5">
        <v>179.98</v>
      </c>
      <c r="S57" t="str">
        <v>TRX0096</v>
      </c>
      <c r="T57">
        <v>45474</v>
      </c>
      <c r="U57" t="str">
        <v>CUST002</v>
      </c>
      <c r="V57" t="str">
        <v>Emma Wilson</v>
      </c>
      <c r="W57" t="str">
        <v>P010</v>
      </c>
      <c r="X57" t="str">
        <v>Keyboard</v>
      </c>
      <c r="Y57" t="str">
        <v>Electronics</v>
      </c>
      <c r="Z57">
        <v>2</v>
      </c>
      <c r="AA57">
        <v>89.99</v>
      </c>
      <c r="AB57" t="str">
        <v>PayPal</v>
      </c>
      <c r="AC57" t="str">
        <v>Central</v>
      </c>
      <c r="AD57" t="str">
        <v>Premium</v>
      </c>
      <c r="AE57">
        <v>45275</v>
      </c>
      <c r="AF57">
        <v>179.98</v>
      </c>
    </row>
    <row r="58" spans="1:32" ht="15.75" customHeight="1">
      <c r="A58" s="5" t="s">
        <v>185</v>
      </c>
      <c r="B58" s="6">
        <v>45471</v>
      </c>
      <c r="C58" s="5" t="s">
        <v>58</v>
      </c>
      <c r="D58" s="5" t="s">
        <v>59</v>
      </c>
      <c r="E58" s="5" t="s">
        <v>94</v>
      </c>
      <c r="F58" s="5" t="s">
        <v>26</v>
      </c>
      <c r="G58" s="5" t="s">
        <v>11</v>
      </c>
      <c r="H58" s="5">
        <v>3</v>
      </c>
      <c r="I58" s="5">
        <v>699.99</v>
      </c>
      <c r="J58" s="5" t="s">
        <v>51</v>
      </c>
      <c r="K58" s="5" t="s">
        <v>4</v>
      </c>
      <c r="L58" s="5" t="s">
        <v>29</v>
      </c>
      <c r="M58" s="6">
        <v>45102</v>
      </c>
      <c r="N58" s="5">
        <v>2099.9699999999998</v>
      </c>
      <c r="S58" t="str">
        <v>TRX0192</v>
      </c>
      <c r="T58">
        <v>45475</v>
      </c>
      <c r="U58" t="str">
        <v>CUST017</v>
      </c>
      <c r="V58" t="str">
        <v>Charles Allen</v>
      </c>
      <c r="W58" t="str">
        <v>P010</v>
      </c>
      <c r="X58" t="str">
        <v>Keyboard</v>
      </c>
      <c r="Y58" t="str">
        <v>Electronics</v>
      </c>
      <c r="Z58">
        <v>1</v>
      </c>
      <c r="AA58">
        <v>89.99</v>
      </c>
      <c r="AB58" t="str">
        <v>PayPal</v>
      </c>
      <c r="AC58" t="str">
        <v>West</v>
      </c>
      <c r="AD58" t="str">
        <v>Standard</v>
      </c>
      <c r="AE58">
        <v>44802</v>
      </c>
      <c r="AF58">
        <v>89.99</v>
      </c>
    </row>
    <row r="59" spans="1:32" ht="15.75" customHeight="1">
      <c r="A59" s="5" t="s">
        <v>186</v>
      </c>
      <c r="B59" s="6">
        <v>45471</v>
      </c>
      <c r="C59" s="5" t="s">
        <v>112</v>
      </c>
      <c r="D59" s="5" t="s">
        <v>113</v>
      </c>
      <c r="E59" s="5" t="s">
        <v>76</v>
      </c>
      <c r="F59" s="5" t="s">
        <v>23</v>
      </c>
      <c r="G59" s="5" t="s">
        <v>11</v>
      </c>
      <c r="H59" s="5">
        <v>4</v>
      </c>
      <c r="I59" s="5">
        <v>899.99</v>
      </c>
      <c r="J59" s="5" t="s">
        <v>51</v>
      </c>
      <c r="K59" s="5" t="s">
        <v>4</v>
      </c>
      <c r="L59" s="5" t="s">
        <v>29</v>
      </c>
      <c r="M59" s="6">
        <v>44993</v>
      </c>
      <c r="N59" s="5">
        <v>3599.96</v>
      </c>
      <c r="S59" t="str">
        <v>TRX0052</v>
      </c>
      <c r="T59">
        <v>45476</v>
      </c>
      <c r="U59" t="str">
        <v>CUST022</v>
      </c>
      <c r="V59" t="str">
        <v>Susan Green</v>
      </c>
      <c r="W59" t="str">
        <v>P010</v>
      </c>
      <c r="X59" t="str">
        <v>Keyboard</v>
      </c>
      <c r="Y59" t="str">
        <v>Electronics</v>
      </c>
      <c r="Z59">
        <v>1</v>
      </c>
      <c r="AA59">
        <v>89.99</v>
      </c>
      <c r="AB59" t="str">
        <v>Cash</v>
      </c>
      <c r="AC59" t="str">
        <v>South</v>
      </c>
      <c r="AD59" t="str">
        <v>Standard</v>
      </c>
      <c r="AE59">
        <v>44611</v>
      </c>
      <c r="AF59">
        <v>89.99</v>
      </c>
    </row>
    <row r="60" spans="1:32" ht="15.75" customHeight="1">
      <c r="A60" s="5" t="s">
        <v>187</v>
      </c>
      <c r="B60" s="6">
        <v>45472</v>
      </c>
      <c r="C60" s="5" t="s">
        <v>131</v>
      </c>
      <c r="D60" s="5" t="s">
        <v>132</v>
      </c>
      <c r="E60" s="5" t="s">
        <v>63</v>
      </c>
      <c r="F60" s="5" t="s">
        <v>18</v>
      </c>
      <c r="G60" s="5" t="s">
        <v>12</v>
      </c>
      <c r="H60" s="5">
        <v>1</v>
      </c>
      <c r="I60" s="5">
        <v>149.99</v>
      </c>
      <c r="J60" s="5" t="s">
        <v>56</v>
      </c>
      <c r="K60" s="5" t="s">
        <v>4</v>
      </c>
      <c r="L60" s="5" t="s">
        <v>28</v>
      </c>
      <c r="M60" s="6">
        <v>44851</v>
      </c>
      <c r="N60" s="5">
        <v>149.99</v>
      </c>
      <c r="S60" t="str">
        <v>TRX0113</v>
      </c>
      <c r="T60">
        <v>45481</v>
      </c>
      <c r="U60" t="str">
        <v>CUST003</v>
      </c>
      <c r="V60" t="str">
        <v>Michael Brown</v>
      </c>
      <c r="W60" t="str">
        <v>P002</v>
      </c>
      <c r="X60" t="str">
        <v>Smartphone</v>
      </c>
      <c r="Y60" t="str">
        <v>Electronics</v>
      </c>
      <c r="Z60">
        <v>2</v>
      </c>
      <c r="AA60">
        <v>699.99</v>
      </c>
      <c r="AB60" t="str">
        <v>PayPal</v>
      </c>
      <c r="AC60" t="str">
        <v>East</v>
      </c>
      <c r="AD60" t="str">
        <v>Premium</v>
      </c>
      <c r="AE60">
        <v>45389</v>
      </c>
      <c r="AF60">
        <v>1399.98</v>
      </c>
    </row>
    <row r="61" spans="1:32" ht="15.75" customHeight="1">
      <c r="A61" s="5" t="s">
        <v>188</v>
      </c>
      <c r="B61" s="6">
        <v>45474</v>
      </c>
      <c r="C61" s="5" t="s">
        <v>142</v>
      </c>
      <c r="D61" s="5" t="s">
        <v>143</v>
      </c>
      <c r="E61" s="5" t="s">
        <v>129</v>
      </c>
      <c r="F61" s="5" t="s">
        <v>22</v>
      </c>
      <c r="G61" s="5" t="s">
        <v>11</v>
      </c>
      <c r="H61" s="5">
        <v>2</v>
      </c>
      <c r="I61" s="5">
        <v>89.99</v>
      </c>
      <c r="J61" s="5" t="s">
        <v>56</v>
      </c>
      <c r="K61" s="5" t="s">
        <v>3</v>
      </c>
      <c r="L61" s="5" t="s">
        <v>29</v>
      </c>
      <c r="M61" s="6">
        <v>45275</v>
      </c>
      <c r="N61" s="5">
        <v>179.98</v>
      </c>
      <c r="S61" t="str">
        <v>TRX0114</v>
      </c>
      <c r="T61">
        <v>45481</v>
      </c>
      <c r="U61" t="str">
        <v>CUST018</v>
      </c>
      <c r="V61" t="str">
        <v>Barbara Young</v>
      </c>
      <c r="W61" t="str">
        <v>P010</v>
      </c>
      <c r="X61" t="str">
        <v>Keyboard</v>
      </c>
      <c r="Y61" t="str">
        <v>Electronics</v>
      </c>
      <c r="Z61">
        <v>5</v>
      </c>
      <c r="AA61">
        <v>89.99</v>
      </c>
      <c r="AB61" t="str">
        <v>Debit Card</v>
      </c>
      <c r="AC61" t="str">
        <v>North</v>
      </c>
      <c r="AD61" t="str">
        <v>Premium</v>
      </c>
      <c r="AE61">
        <v>45161</v>
      </c>
      <c r="AF61">
        <v>449.95</v>
      </c>
    </row>
    <row r="62" spans="1:32" ht="15.75" customHeight="1">
      <c r="A62" s="5" t="s">
        <v>189</v>
      </c>
      <c r="B62" s="6">
        <v>45475</v>
      </c>
      <c r="C62" s="5" t="s">
        <v>70</v>
      </c>
      <c r="D62" s="5" t="s">
        <v>71</v>
      </c>
      <c r="E62" s="5" t="s">
        <v>129</v>
      </c>
      <c r="F62" s="5" t="s">
        <v>22</v>
      </c>
      <c r="G62" s="5" t="s">
        <v>11</v>
      </c>
      <c r="H62" s="5">
        <v>1</v>
      </c>
      <c r="I62" s="5">
        <v>89.99</v>
      </c>
      <c r="J62" s="5" t="s">
        <v>56</v>
      </c>
      <c r="K62" s="5" t="s">
        <v>7</v>
      </c>
      <c r="L62" s="5" t="s">
        <v>30</v>
      </c>
      <c r="M62" s="6">
        <v>44802</v>
      </c>
      <c r="N62" s="5">
        <v>89.99</v>
      </c>
      <c r="S62" t="str">
        <v>TRX0018</v>
      </c>
      <c r="T62">
        <v>45484</v>
      </c>
      <c r="U62" t="str">
        <v>CUST013</v>
      </c>
      <c r="V62" t="str">
        <v>Joseph Jackson</v>
      </c>
      <c r="W62" t="str">
        <v>P003</v>
      </c>
      <c r="X62" t="str">
        <v>Headphones</v>
      </c>
      <c r="Y62" t="str">
        <v>Electronics</v>
      </c>
      <c r="Z62">
        <v>1</v>
      </c>
      <c r="AA62">
        <v>149.99</v>
      </c>
      <c r="AB62" t="str">
        <v>Cash</v>
      </c>
      <c r="AC62" t="str">
        <v>Central</v>
      </c>
      <c r="AD62" t="str">
        <v>Standard</v>
      </c>
      <c r="AE62">
        <v>44909</v>
      </c>
      <c r="AF62">
        <v>149.99</v>
      </c>
    </row>
    <row r="63" spans="1:32" ht="15.75" customHeight="1">
      <c r="A63" s="5" t="s">
        <v>190</v>
      </c>
      <c r="B63" s="6">
        <v>45476</v>
      </c>
      <c r="C63" s="5" t="s">
        <v>81</v>
      </c>
      <c r="D63" s="5" t="s">
        <v>82</v>
      </c>
      <c r="E63" s="5" t="s">
        <v>129</v>
      </c>
      <c r="F63" s="5" t="s">
        <v>22</v>
      </c>
      <c r="G63" s="5" t="s">
        <v>11</v>
      </c>
      <c r="H63" s="5">
        <v>1</v>
      </c>
      <c r="I63" s="5">
        <v>89.99</v>
      </c>
      <c r="J63" s="5" t="s">
        <v>47</v>
      </c>
      <c r="K63" s="5" t="s">
        <v>6</v>
      </c>
      <c r="L63" s="5" t="s">
        <v>30</v>
      </c>
      <c r="M63" s="6">
        <v>44611</v>
      </c>
      <c r="N63" s="5">
        <v>89.99</v>
      </c>
      <c r="S63" t="str">
        <v>TRX0162</v>
      </c>
      <c r="T63">
        <v>45496</v>
      </c>
      <c r="U63" t="str">
        <v>CUST040</v>
      </c>
      <c r="V63" t="str">
        <v>Sharon Butler</v>
      </c>
      <c r="W63" t="str">
        <v>P001</v>
      </c>
      <c r="X63" t="str">
        <v>Laptop</v>
      </c>
      <c r="Y63" t="str">
        <v>Electronics</v>
      </c>
      <c r="Z63">
        <v>1</v>
      </c>
      <c r="AA63">
        <v>899.99</v>
      </c>
      <c r="AB63" t="str">
        <v>Cash</v>
      </c>
      <c r="AC63" t="str">
        <v>Central</v>
      </c>
      <c r="AD63" t="str">
        <v>Standard</v>
      </c>
      <c r="AE63">
        <v>45179</v>
      </c>
      <c r="AF63">
        <v>899.99</v>
      </c>
    </row>
    <row r="64" spans="1:32" ht="15.75" customHeight="1">
      <c r="A64" s="5" t="s">
        <v>191</v>
      </c>
      <c r="B64" s="6">
        <v>45476</v>
      </c>
      <c r="C64" s="5" t="s">
        <v>192</v>
      </c>
      <c r="D64" s="5" t="s">
        <v>193</v>
      </c>
      <c r="E64" s="5" t="s">
        <v>127</v>
      </c>
      <c r="F64" s="5" t="s">
        <v>19</v>
      </c>
      <c r="G64" s="5" t="s">
        <v>10</v>
      </c>
      <c r="H64" s="5">
        <v>5</v>
      </c>
      <c r="I64" s="5">
        <v>79.989999999999995</v>
      </c>
      <c r="J64" s="5" t="s">
        <v>72</v>
      </c>
      <c r="K64" s="5" t="s">
        <v>3</v>
      </c>
      <c r="L64" s="5" t="s">
        <v>28</v>
      </c>
      <c r="M64" s="6">
        <v>44981</v>
      </c>
      <c r="N64" s="5">
        <v>399.95</v>
      </c>
      <c r="S64" t="str">
        <v>TRX0244</v>
      </c>
      <c r="T64">
        <v>45497</v>
      </c>
      <c r="U64" t="str">
        <v>CUST013</v>
      </c>
      <c r="V64" t="str">
        <v>Joseph Jackson</v>
      </c>
      <c r="W64" t="str">
        <v>P001</v>
      </c>
      <c r="X64" t="str">
        <v>Laptop</v>
      </c>
      <c r="Y64" t="str">
        <v>Electronics</v>
      </c>
      <c r="Z64">
        <v>5</v>
      </c>
      <c r="AA64">
        <v>899.99</v>
      </c>
      <c r="AB64" t="str">
        <v>Debit Card</v>
      </c>
      <c r="AC64" t="str">
        <v>South</v>
      </c>
      <c r="AD64" t="str">
        <v>Standard</v>
      </c>
      <c r="AE64">
        <v>44899</v>
      </c>
      <c r="AF64">
        <v>4499.95</v>
      </c>
    </row>
    <row r="65" spans="1:32" ht="15.75" customHeight="1">
      <c r="A65" s="5" t="s">
        <v>194</v>
      </c>
      <c r="B65" s="6">
        <v>45481</v>
      </c>
      <c r="C65" s="5" t="s">
        <v>195</v>
      </c>
      <c r="D65" s="5" t="s">
        <v>196</v>
      </c>
      <c r="E65" s="5" t="s">
        <v>63</v>
      </c>
      <c r="F65" s="5" t="s">
        <v>18</v>
      </c>
      <c r="G65" s="5" t="s">
        <v>12</v>
      </c>
      <c r="H65" s="5">
        <v>1</v>
      </c>
      <c r="I65" s="5">
        <v>149.99</v>
      </c>
      <c r="J65" s="5" t="s">
        <v>56</v>
      </c>
      <c r="K65" s="5" t="s">
        <v>5</v>
      </c>
      <c r="L65" s="5" t="s">
        <v>28</v>
      </c>
      <c r="M65" s="6">
        <v>44421</v>
      </c>
      <c r="N65" s="5">
        <v>149.99</v>
      </c>
      <c r="S65" t="str">
        <v>TRX0215</v>
      </c>
      <c r="T65">
        <v>45498</v>
      </c>
      <c r="U65" t="str">
        <v>CUST047</v>
      </c>
      <c r="V65" t="str">
        <v>Gerald Murphy</v>
      </c>
      <c r="W65" t="str">
        <v>P009</v>
      </c>
      <c r="X65" t="str">
        <v>Monitor</v>
      </c>
      <c r="Y65" t="str">
        <v>Electronics</v>
      </c>
      <c r="Z65">
        <v>4</v>
      </c>
      <c r="AA65">
        <v>249.99</v>
      </c>
      <c r="AB65" t="str">
        <v>Debit Card</v>
      </c>
      <c r="AC65" t="str">
        <v>Central</v>
      </c>
      <c r="AD65" t="str">
        <v>Standard</v>
      </c>
      <c r="AE65">
        <v>45127</v>
      </c>
      <c r="AF65">
        <v>999.96</v>
      </c>
    </row>
    <row r="66" spans="1:32" ht="15.75" customHeight="1">
      <c r="A66" s="5" t="s">
        <v>197</v>
      </c>
      <c r="B66" s="6">
        <v>45481</v>
      </c>
      <c r="C66" s="5" t="s">
        <v>61</v>
      </c>
      <c r="D66" s="5" t="s">
        <v>62</v>
      </c>
      <c r="E66" s="5" t="s">
        <v>94</v>
      </c>
      <c r="F66" s="5" t="s">
        <v>26</v>
      </c>
      <c r="G66" s="5" t="s">
        <v>11</v>
      </c>
      <c r="H66" s="5">
        <v>2</v>
      </c>
      <c r="I66" s="5">
        <v>699.99</v>
      </c>
      <c r="J66" s="5" t="s">
        <v>56</v>
      </c>
      <c r="K66" s="5" t="s">
        <v>4</v>
      </c>
      <c r="L66" s="5" t="s">
        <v>29</v>
      </c>
      <c r="M66" s="6">
        <v>45389</v>
      </c>
      <c r="N66" s="5">
        <v>1399.98</v>
      </c>
      <c r="S66" t="str">
        <v>TRX0080</v>
      </c>
      <c r="T66">
        <v>45500</v>
      </c>
      <c r="U66" t="str">
        <v>CUST018</v>
      </c>
      <c r="V66" t="str">
        <v>Barbara Young</v>
      </c>
      <c r="W66" t="str">
        <v>P009</v>
      </c>
      <c r="X66" t="str">
        <v>Monitor</v>
      </c>
      <c r="Y66" t="str">
        <v>Electronics</v>
      </c>
      <c r="Z66">
        <v>2</v>
      </c>
      <c r="AA66">
        <v>249.99</v>
      </c>
      <c r="AB66" t="str">
        <v>Cash</v>
      </c>
      <c r="AC66" t="str">
        <v>North</v>
      </c>
      <c r="AD66" t="str">
        <v>Premium</v>
      </c>
      <c r="AE66">
        <v>45164</v>
      </c>
      <c r="AF66">
        <v>499.98</v>
      </c>
    </row>
    <row r="67" spans="1:32" ht="15.75" customHeight="1">
      <c r="A67" s="5" t="s">
        <v>198</v>
      </c>
      <c r="B67" s="6">
        <v>45481</v>
      </c>
      <c r="C67" s="5" t="s">
        <v>109</v>
      </c>
      <c r="D67" s="5" t="s">
        <v>110</v>
      </c>
      <c r="E67" s="5" t="s">
        <v>129</v>
      </c>
      <c r="F67" s="5" t="s">
        <v>22</v>
      </c>
      <c r="G67" s="5" t="s">
        <v>11</v>
      </c>
      <c r="H67" s="5">
        <v>5</v>
      </c>
      <c r="I67" s="5">
        <v>89.99</v>
      </c>
      <c r="J67" s="5" t="s">
        <v>72</v>
      </c>
      <c r="K67" s="5" t="s">
        <v>5</v>
      </c>
      <c r="L67" s="5" t="s">
        <v>29</v>
      </c>
      <c r="M67" s="6">
        <v>45161</v>
      </c>
      <c r="N67" s="5">
        <v>449.95</v>
      </c>
      <c r="S67" t="str">
        <v>TRX0157</v>
      </c>
      <c r="T67">
        <v>45501</v>
      </c>
      <c r="U67" t="str">
        <v>CUST025</v>
      </c>
      <c r="V67" t="str">
        <v>Mark Carter</v>
      </c>
      <c r="W67" t="str">
        <v>P010</v>
      </c>
      <c r="X67" t="str">
        <v>Keyboard</v>
      </c>
      <c r="Y67" t="str">
        <v>Electronics</v>
      </c>
      <c r="Z67">
        <v>2</v>
      </c>
      <c r="AA67">
        <v>89.99</v>
      </c>
      <c r="AB67" t="str">
        <v>PayPal</v>
      </c>
      <c r="AC67" t="str">
        <v>South</v>
      </c>
      <c r="AD67" t="str">
        <v>Basic</v>
      </c>
      <c r="AE67">
        <v>44976</v>
      </c>
      <c r="AF67">
        <v>179.98</v>
      </c>
    </row>
    <row r="68" spans="1:32" ht="15.75" customHeight="1">
      <c r="A68" s="5" t="s">
        <v>199</v>
      </c>
      <c r="B68" s="6">
        <v>45482</v>
      </c>
      <c r="C68" s="5" t="s">
        <v>181</v>
      </c>
      <c r="D68" s="5" t="s">
        <v>182</v>
      </c>
      <c r="E68" s="5" t="s">
        <v>55</v>
      </c>
      <c r="F68" s="5" t="s">
        <v>17</v>
      </c>
      <c r="G68" s="5" t="s">
        <v>10</v>
      </c>
      <c r="H68" s="5">
        <v>4</v>
      </c>
      <c r="I68" s="5">
        <v>59.99</v>
      </c>
      <c r="J68" s="5" t="s">
        <v>47</v>
      </c>
      <c r="K68" s="5" t="s">
        <v>6</v>
      </c>
      <c r="L68" s="5" t="s">
        <v>30</v>
      </c>
      <c r="M68" s="6">
        <v>44509</v>
      </c>
      <c r="N68" s="5">
        <v>239.96</v>
      </c>
      <c r="S68" t="str">
        <v>TRX0217</v>
      </c>
      <c r="T68">
        <v>45503</v>
      </c>
      <c r="U68" t="str">
        <v>CUST025</v>
      </c>
      <c r="V68" t="str">
        <v>Mark Carter</v>
      </c>
      <c r="W68" t="str">
        <v>P002</v>
      </c>
      <c r="X68" t="str">
        <v>Smartphone</v>
      </c>
      <c r="Y68" t="str">
        <v>Electronics</v>
      </c>
      <c r="Z68">
        <v>2</v>
      </c>
      <c r="AA68">
        <v>699.99</v>
      </c>
      <c r="AB68" t="str">
        <v>Credit Card</v>
      </c>
      <c r="AC68" t="str">
        <v>North</v>
      </c>
      <c r="AD68" t="str">
        <v>Premium</v>
      </c>
      <c r="AE68">
        <v>44999</v>
      </c>
      <c r="AF68">
        <v>1399.98</v>
      </c>
    </row>
    <row r="69" spans="1:32" ht="15.75" customHeight="1">
      <c r="A69" s="5" t="s">
        <v>200</v>
      </c>
      <c r="B69" s="6">
        <v>45484</v>
      </c>
      <c r="C69" s="5" t="s">
        <v>49</v>
      </c>
      <c r="D69" s="5" t="s">
        <v>50</v>
      </c>
      <c r="E69" s="5" t="s">
        <v>68</v>
      </c>
      <c r="F69" s="5" t="s">
        <v>21</v>
      </c>
      <c r="G69" s="5" t="s">
        <v>11</v>
      </c>
      <c r="H69" s="5">
        <v>1</v>
      </c>
      <c r="I69" s="5">
        <v>149.99</v>
      </c>
      <c r="J69" s="5" t="s">
        <v>47</v>
      </c>
      <c r="K69" s="5" t="s">
        <v>3</v>
      </c>
      <c r="L69" s="5" t="s">
        <v>30</v>
      </c>
      <c r="M69" s="6">
        <v>44909</v>
      </c>
      <c r="N69" s="5">
        <v>149.99</v>
      </c>
      <c r="S69" t="str">
        <v>TRX0249</v>
      </c>
      <c r="T69">
        <v>45504</v>
      </c>
      <c r="U69" t="str">
        <v>CUST030</v>
      </c>
      <c r="V69" t="str">
        <v>Helen Roberts</v>
      </c>
      <c r="W69" t="str">
        <v>P001</v>
      </c>
      <c r="X69" t="str">
        <v>Laptop</v>
      </c>
      <c r="Y69" t="str">
        <v>Electronics</v>
      </c>
      <c r="Z69">
        <v>4</v>
      </c>
      <c r="AA69">
        <v>899.99</v>
      </c>
      <c r="AB69" t="str">
        <v>Debit Card</v>
      </c>
      <c r="AC69" t="str">
        <v>South</v>
      </c>
      <c r="AD69" t="str">
        <v>Standard</v>
      </c>
      <c r="AE69">
        <v>44523</v>
      </c>
      <c r="AF69">
        <v>3599.96</v>
      </c>
    </row>
    <row r="70" spans="1:32" ht="15.75" customHeight="1">
      <c r="A70" s="5" t="s">
        <v>201</v>
      </c>
      <c r="B70" s="6">
        <v>45484</v>
      </c>
      <c r="C70" s="5" t="s">
        <v>202</v>
      </c>
      <c r="D70" s="5" t="s">
        <v>203</v>
      </c>
      <c r="E70" s="5" t="s">
        <v>118</v>
      </c>
      <c r="F70" s="5" t="s">
        <v>20</v>
      </c>
      <c r="G70" s="5" t="s">
        <v>12</v>
      </c>
      <c r="H70" s="5">
        <v>1</v>
      </c>
      <c r="I70" s="5">
        <v>299.99</v>
      </c>
      <c r="J70" s="5" t="s">
        <v>51</v>
      </c>
      <c r="K70" s="5" t="s">
        <v>5</v>
      </c>
      <c r="L70" s="5" t="s">
        <v>29</v>
      </c>
      <c r="M70" s="6">
        <v>44891</v>
      </c>
      <c r="N70" s="5">
        <v>299.99</v>
      </c>
      <c r="S70" t="str">
        <v>TRX0101</v>
      </c>
      <c r="T70">
        <v>45513</v>
      </c>
      <c r="U70" t="str">
        <v>CUST010</v>
      </c>
      <c r="V70" t="str">
        <v>Maria Garcia</v>
      </c>
      <c r="W70" t="str">
        <v>P010</v>
      </c>
      <c r="X70" t="str">
        <v>Keyboard</v>
      </c>
      <c r="Y70" t="str">
        <v>Electronics</v>
      </c>
      <c r="Z70">
        <v>1</v>
      </c>
      <c r="AA70">
        <v>89.99</v>
      </c>
      <c r="AB70" t="str">
        <v>Credit Card</v>
      </c>
      <c r="AC70" t="str">
        <v>North</v>
      </c>
      <c r="AD70" t="str">
        <v>Standard</v>
      </c>
      <c r="AE70">
        <v>45393</v>
      </c>
      <c r="AF70">
        <v>89.99</v>
      </c>
    </row>
    <row r="71" spans="1:32" ht="15.75" customHeight="1">
      <c r="A71" s="5" t="s">
        <v>204</v>
      </c>
      <c r="B71" s="6">
        <v>45487</v>
      </c>
      <c r="C71" s="5" t="s">
        <v>202</v>
      </c>
      <c r="D71" s="5" t="s">
        <v>203</v>
      </c>
      <c r="E71" s="5" t="s">
        <v>137</v>
      </c>
      <c r="F71" s="5" t="s">
        <v>25</v>
      </c>
      <c r="G71" s="5" t="s">
        <v>12</v>
      </c>
      <c r="H71" s="5">
        <v>2</v>
      </c>
      <c r="I71" s="5">
        <v>199.99</v>
      </c>
      <c r="J71" s="5" t="s">
        <v>47</v>
      </c>
      <c r="K71" s="5" t="s">
        <v>5</v>
      </c>
      <c r="L71" s="5" t="s">
        <v>28</v>
      </c>
      <c r="M71" s="6">
        <v>44541</v>
      </c>
      <c r="N71" s="5">
        <v>399.98</v>
      </c>
      <c r="S71" t="str">
        <v>TRX0020</v>
      </c>
      <c r="T71">
        <v>45517</v>
      </c>
      <c r="U71" t="str">
        <v>CUST007</v>
      </c>
      <c r="V71" t="str">
        <v>David Martinez</v>
      </c>
      <c r="W71" t="str">
        <v>P003</v>
      </c>
      <c r="X71" t="str">
        <v>Headphones</v>
      </c>
      <c r="Y71" t="str">
        <v>Electronics</v>
      </c>
      <c r="Z71">
        <v>4</v>
      </c>
      <c r="AA71">
        <v>149.99</v>
      </c>
      <c r="AB71" t="str">
        <v>Debit Card</v>
      </c>
      <c r="AC71" t="str">
        <v>South</v>
      </c>
      <c r="AD71" t="str">
        <v>Premium</v>
      </c>
      <c r="AE71">
        <v>44820</v>
      </c>
      <c r="AF71">
        <v>599.96</v>
      </c>
    </row>
    <row r="72" spans="1:32" ht="15.75" customHeight="1">
      <c r="A72" s="5" t="s">
        <v>205</v>
      </c>
      <c r="B72" s="6">
        <v>45490</v>
      </c>
      <c r="C72" s="5" t="s">
        <v>206</v>
      </c>
      <c r="D72" s="5" t="s">
        <v>207</v>
      </c>
      <c r="E72" s="5" t="s">
        <v>55</v>
      </c>
      <c r="F72" s="5" t="s">
        <v>17</v>
      </c>
      <c r="G72" s="5" t="s">
        <v>10</v>
      </c>
      <c r="H72" s="5">
        <v>3</v>
      </c>
      <c r="I72" s="5">
        <v>59.99</v>
      </c>
      <c r="J72" s="5" t="s">
        <v>51</v>
      </c>
      <c r="K72" s="5" t="s">
        <v>7</v>
      </c>
      <c r="L72" s="5" t="s">
        <v>28</v>
      </c>
      <c r="M72" s="6">
        <v>45130</v>
      </c>
      <c r="N72" s="5">
        <v>179.97</v>
      </c>
      <c r="S72" t="str">
        <v>TRX0075</v>
      </c>
      <c r="T72">
        <v>45517</v>
      </c>
      <c r="U72" t="str">
        <v>CUST020</v>
      </c>
      <c r="V72" t="str">
        <v>Margaret Wright</v>
      </c>
      <c r="W72" t="str">
        <v>P009</v>
      </c>
      <c r="X72" t="str">
        <v>Monitor</v>
      </c>
      <c r="Y72" t="str">
        <v>Electronics</v>
      </c>
      <c r="Z72">
        <v>5</v>
      </c>
      <c r="AA72">
        <v>249.99</v>
      </c>
      <c r="AB72" t="str">
        <v>PayPal</v>
      </c>
      <c r="AC72" t="str">
        <v>East</v>
      </c>
      <c r="AD72" t="str">
        <v>Premium</v>
      </c>
      <c r="AE72">
        <v>44782</v>
      </c>
      <c r="AF72">
        <v>1249.95</v>
      </c>
    </row>
    <row r="73" spans="1:32" ht="15.75" customHeight="1">
      <c r="A73" s="5" t="s">
        <v>208</v>
      </c>
      <c r="B73" s="6">
        <v>45490</v>
      </c>
      <c r="C73" s="5" t="s">
        <v>85</v>
      </c>
      <c r="D73" s="5" t="s">
        <v>86</v>
      </c>
      <c r="E73" s="5" t="s">
        <v>63</v>
      </c>
      <c r="F73" s="5" t="s">
        <v>18</v>
      </c>
      <c r="G73" s="5" t="s">
        <v>12</v>
      </c>
      <c r="H73" s="5">
        <v>3</v>
      </c>
      <c r="I73" s="5">
        <v>149.99</v>
      </c>
      <c r="J73" s="5" t="s">
        <v>47</v>
      </c>
      <c r="K73" s="5" t="s">
        <v>3</v>
      </c>
      <c r="L73" s="5" t="s">
        <v>29</v>
      </c>
      <c r="M73" s="6">
        <v>45199</v>
      </c>
      <c r="N73" s="5">
        <v>449.97</v>
      </c>
      <c r="S73" t="str">
        <v>TRX0098</v>
      </c>
      <c r="T73">
        <v>45517</v>
      </c>
      <c r="U73" t="str">
        <v>CUST026</v>
      </c>
      <c r="V73" t="str">
        <v>Karen Hill</v>
      </c>
      <c r="W73" t="str">
        <v>P009</v>
      </c>
      <c r="X73" t="str">
        <v>Monitor</v>
      </c>
      <c r="Y73" t="str">
        <v>Electronics</v>
      </c>
      <c r="Z73">
        <v>3</v>
      </c>
      <c r="AA73">
        <v>249.99</v>
      </c>
      <c r="AB73" t="str">
        <v>PayPal</v>
      </c>
      <c r="AC73" t="str">
        <v>North</v>
      </c>
      <c r="AD73" t="str">
        <v>Premium</v>
      </c>
      <c r="AE73">
        <v>44465</v>
      </c>
      <c r="AF73">
        <v>749.97</v>
      </c>
    </row>
    <row r="74" spans="1:32" ht="15.75" customHeight="1">
      <c r="A74" s="5" t="s">
        <v>209</v>
      </c>
      <c r="B74" s="6">
        <v>45491</v>
      </c>
      <c r="C74" s="5" t="s">
        <v>78</v>
      </c>
      <c r="D74" s="5" t="s">
        <v>79</v>
      </c>
      <c r="E74" s="5" t="s">
        <v>137</v>
      </c>
      <c r="F74" s="5" t="s">
        <v>25</v>
      </c>
      <c r="G74" s="5" t="s">
        <v>12</v>
      </c>
      <c r="H74" s="5">
        <v>3</v>
      </c>
      <c r="I74" s="5">
        <v>199.99</v>
      </c>
      <c r="J74" s="5" t="s">
        <v>47</v>
      </c>
      <c r="K74" s="5" t="s">
        <v>5</v>
      </c>
      <c r="L74" s="5" t="s">
        <v>29</v>
      </c>
      <c r="M74" s="6">
        <v>45254</v>
      </c>
      <c r="N74" s="5">
        <v>599.97</v>
      </c>
      <c r="S74" t="str">
        <v>TRX0140</v>
      </c>
      <c r="T74">
        <v>45522</v>
      </c>
      <c r="U74" t="str">
        <v>CUST025</v>
      </c>
      <c r="V74" t="str">
        <v>Mark Carter</v>
      </c>
      <c r="W74" t="str">
        <v>P010</v>
      </c>
      <c r="X74" t="str">
        <v>Keyboard</v>
      </c>
      <c r="Y74" t="str">
        <v>Electronics</v>
      </c>
      <c r="Z74">
        <v>2</v>
      </c>
      <c r="AA74">
        <v>89.99</v>
      </c>
      <c r="AB74" t="str">
        <v>Cash</v>
      </c>
      <c r="AC74" t="str">
        <v>East</v>
      </c>
      <c r="AD74" t="str">
        <v>Premium</v>
      </c>
      <c r="AE74">
        <v>44972</v>
      </c>
      <c r="AF74">
        <v>179.98</v>
      </c>
    </row>
    <row r="75" spans="1:32" ht="15.75" customHeight="1">
      <c r="A75" s="5" t="s">
        <v>210</v>
      </c>
      <c r="B75" s="6">
        <v>45496</v>
      </c>
      <c r="C75" s="5" t="s">
        <v>160</v>
      </c>
      <c r="D75" s="5" t="s">
        <v>161</v>
      </c>
      <c r="E75" s="5" t="s">
        <v>76</v>
      </c>
      <c r="F75" s="5" t="s">
        <v>23</v>
      </c>
      <c r="G75" s="5" t="s">
        <v>11</v>
      </c>
      <c r="H75" s="5">
        <v>1</v>
      </c>
      <c r="I75" s="5">
        <v>899.99</v>
      </c>
      <c r="J75" s="5" t="s">
        <v>47</v>
      </c>
      <c r="K75" s="5" t="s">
        <v>3</v>
      </c>
      <c r="L75" s="5" t="s">
        <v>30</v>
      </c>
      <c r="M75" s="6">
        <v>45179</v>
      </c>
      <c r="N75" s="5">
        <v>899.99</v>
      </c>
      <c r="S75" t="str">
        <v>TRX0132</v>
      </c>
      <c r="T75">
        <v>45523</v>
      </c>
      <c r="U75" t="str">
        <v>CUST047</v>
      </c>
      <c r="V75" t="str">
        <v>Gerald Murphy</v>
      </c>
      <c r="W75" t="str">
        <v>P001</v>
      </c>
      <c r="X75" t="str">
        <v>Laptop</v>
      </c>
      <c r="Y75" t="str">
        <v>Electronics</v>
      </c>
      <c r="Z75">
        <v>5</v>
      </c>
      <c r="AA75">
        <v>899.99</v>
      </c>
      <c r="AB75" t="str">
        <v>Debit Card</v>
      </c>
      <c r="AC75" t="str">
        <v>East</v>
      </c>
      <c r="AD75" t="str">
        <v>Basic</v>
      </c>
      <c r="AE75">
        <v>44526</v>
      </c>
      <c r="AF75">
        <v>4499.95</v>
      </c>
    </row>
    <row r="76" spans="1:32" ht="15.75" customHeight="1">
      <c r="A76" s="5" t="s">
        <v>211</v>
      </c>
      <c r="B76" s="6">
        <v>45497</v>
      </c>
      <c r="C76" s="5" t="s">
        <v>49</v>
      </c>
      <c r="D76" s="5" t="s">
        <v>50</v>
      </c>
      <c r="E76" s="5" t="s">
        <v>76</v>
      </c>
      <c r="F76" s="5" t="s">
        <v>23</v>
      </c>
      <c r="G76" s="5" t="s">
        <v>11</v>
      </c>
      <c r="H76" s="5">
        <v>5</v>
      </c>
      <c r="I76" s="5">
        <v>899.99</v>
      </c>
      <c r="J76" s="5" t="s">
        <v>72</v>
      </c>
      <c r="K76" s="5" t="s">
        <v>6</v>
      </c>
      <c r="L76" s="5" t="s">
        <v>30</v>
      </c>
      <c r="M76" s="6">
        <v>44899</v>
      </c>
      <c r="N76" s="5">
        <v>4499.95</v>
      </c>
      <c r="S76" t="str">
        <v>TRX0031</v>
      </c>
      <c r="T76">
        <v>45523</v>
      </c>
      <c r="U76" t="str">
        <v>CUST036</v>
      </c>
      <c r="V76" t="str">
        <v>Nancy Collins</v>
      </c>
      <c r="W76" t="str">
        <v>P003</v>
      </c>
      <c r="X76" t="str">
        <v>Headphones</v>
      </c>
      <c r="Y76" t="str">
        <v>Electronics</v>
      </c>
      <c r="Z76">
        <v>3</v>
      </c>
      <c r="AA76">
        <v>149.99</v>
      </c>
      <c r="AB76" t="str">
        <v>PayPal</v>
      </c>
      <c r="AC76" t="str">
        <v>East</v>
      </c>
      <c r="AD76" t="str">
        <v>Basic</v>
      </c>
      <c r="AE76">
        <v>44574</v>
      </c>
      <c r="AF76">
        <v>449.97</v>
      </c>
    </row>
    <row r="77" spans="1:32" ht="15.75" customHeight="1">
      <c r="A77" s="5" t="s">
        <v>212</v>
      </c>
      <c r="B77" s="6">
        <v>45498</v>
      </c>
      <c r="C77" s="5" t="s">
        <v>192</v>
      </c>
      <c r="D77" s="5" t="s">
        <v>193</v>
      </c>
      <c r="E77" s="5" t="s">
        <v>55</v>
      </c>
      <c r="F77" s="5" t="s">
        <v>17</v>
      </c>
      <c r="G77" s="5" t="s">
        <v>10</v>
      </c>
      <c r="H77" s="5">
        <v>2</v>
      </c>
      <c r="I77" s="5">
        <v>59.99</v>
      </c>
      <c r="J77" s="5" t="s">
        <v>47</v>
      </c>
      <c r="K77" s="5" t="s">
        <v>5</v>
      </c>
      <c r="L77" s="5" t="s">
        <v>30</v>
      </c>
      <c r="M77" s="6">
        <v>45152</v>
      </c>
      <c r="N77" s="5">
        <v>119.98</v>
      </c>
      <c r="S77" t="str">
        <v>TRX0037</v>
      </c>
      <c r="T77">
        <v>45528</v>
      </c>
      <c r="U77" t="str">
        <v>CUST035</v>
      </c>
      <c r="V77" t="str">
        <v>Harry Morgan</v>
      </c>
      <c r="W77" t="str">
        <v>P009</v>
      </c>
      <c r="X77" t="str">
        <v>Monitor</v>
      </c>
      <c r="Y77" t="str">
        <v>Electronics</v>
      </c>
      <c r="Z77">
        <v>2</v>
      </c>
      <c r="AA77">
        <v>249.99</v>
      </c>
      <c r="AB77" t="str">
        <v>Cash</v>
      </c>
      <c r="AC77" t="str">
        <v>South</v>
      </c>
      <c r="AD77" t="str">
        <v>Standard</v>
      </c>
      <c r="AE77">
        <v>44572</v>
      </c>
      <c r="AF77">
        <v>499.98</v>
      </c>
    </row>
    <row r="78" spans="1:32" ht="15.75" customHeight="1">
      <c r="A78" s="5" t="s">
        <v>213</v>
      </c>
      <c r="B78" s="6">
        <v>45498</v>
      </c>
      <c r="C78" s="5" t="s">
        <v>206</v>
      </c>
      <c r="D78" s="5" t="s">
        <v>207</v>
      </c>
      <c r="E78" s="5" t="s">
        <v>46</v>
      </c>
      <c r="F78" s="5" t="s">
        <v>24</v>
      </c>
      <c r="G78" s="5" t="s">
        <v>11</v>
      </c>
      <c r="H78" s="5">
        <v>4</v>
      </c>
      <c r="I78" s="5">
        <v>249.99</v>
      </c>
      <c r="J78" s="5" t="s">
        <v>72</v>
      </c>
      <c r="K78" s="5" t="s">
        <v>3</v>
      </c>
      <c r="L78" s="5" t="s">
        <v>30</v>
      </c>
      <c r="M78" s="6">
        <v>45127</v>
      </c>
      <c r="N78" s="5">
        <v>999.96</v>
      </c>
      <c r="S78" t="str">
        <v>TRX0058</v>
      </c>
      <c r="T78">
        <v>45532</v>
      </c>
      <c r="U78" t="str">
        <v>CUST047</v>
      </c>
      <c r="V78" t="str">
        <v>Gerald Murphy</v>
      </c>
      <c r="W78" t="str">
        <v>P002</v>
      </c>
      <c r="X78" t="str">
        <v>Smartphone</v>
      </c>
      <c r="Y78" t="str">
        <v>Electronics</v>
      </c>
      <c r="Z78">
        <v>1</v>
      </c>
      <c r="AA78">
        <v>699.99</v>
      </c>
      <c r="AB78" t="str">
        <v>Cash</v>
      </c>
      <c r="AC78" t="str">
        <v>Central</v>
      </c>
      <c r="AD78" t="str">
        <v>Premium</v>
      </c>
      <c r="AE78">
        <v>44497</v>
      </c>
      <c r="AF78">
        <v>699.99</v>
      </c>
    </row>
    <row r="79" spans="1:32" ht="15.75" customHeight="1">
      <c r="A79" s="5" t="s">
        <v>214</v>
      </c>
      <c r="B79" s="6">
        <v>45500</v>
      </c>
      <c r="C79" s="5" t="s">
        <v>109</v>
      </c>
      <c r="D79" s="5" t="s">
        <v>110</v>
      </c>
      <c r="E79" s="5" t="s">
        <v>46</v>
      </c>
      <c r="F79" s="5" t="s">
        <v>24</v>
      </c>
      <c r="G79" s="5" t="s">
        <v>11</v>
      </c>
      <c r="H79" s="5">
        <v>2</v>
      </c>
      <c r="I79" s="5">
        <v>249.99</v>
      </c>
      <c r="J79" s="5" t="s">
        <v>47</v>
      </c>
      <c r="K79" s="5" t="s">
        <v>5</v>
      </c>
      <c r="L79" s="5" t="s">
        <v>29</v>
      </c>
      <c r="M79" s="6">
        <v>45164</v>
      </c>
      <c r="N79" s="5">
        <v>499.98</v>
      </c>
      <c r="S79" t="str">
        <v>TRX0170</v>
      </c>
      <c r="T79">
        <v>45532</v>
      </c>
      <c r="U79" t="str">
        <v>CUST034</v>
      </c>
      <c r="V79" t="str">
        <v>Carol Evans</v>
      </c>
      <c r="W79" t="str">
        <v>P003</v>
      </c>
      <c r="X79" t="str">
        <v>Headphones</v>
      </c>
      <c r="Y79" t="str">
        <v>Electronics</v>
      </c>
      <c r="Z79">
        <v>3</v>
      </c>
      <c r="AA79">
        <v>149.99</v>
      </c>
      <c r="AB79" t="str">
        <v>Cash</v>
      </c>
      <c r="AC79" t="str">
        <v>West</v>
      </c>
      <c r="AD79" t="str">
        <v>Premium</v>
      </c>
      <c r="AE79">
        <v>45212</v>
      </c>
      <c r="AF79">
        <v>449.97</v>
      </c>
    </row>
    <row r="80" spans="1:32" ht="15.75" customHeight="1">
      <c r="A80" s="5" t="s">
        <v>215</v>
      </c>
      <c r="B80" s="6">
        <v>45500</v>
      </c>
      <c r="C80" s="5" t="s">
        <v>157</v>
      </c>
      <c r="D80" s="5" t="s">
        <v>158</v>
      </c>
      <c r="E80" s="5" t="s">
        <v>118</v>
      </c>
      <c r="F80" s="5" t="s">
        <v>20</v>
      </c>
      <c r="G80" s="5" t="s">
        <v>12</v>
      </c>
      <c r="H80" s="5">
        <v>1</v>
      </c>
      <c r="I80" s="5">
        <v>299.99</v>
      </c>
      <c r="J80" s="5" t="s">
        <v>47</v>
      </c>
      <c r="K80" s="5" t="s">
        <v>6</v>
      </c>
      <c r="L80" s="5" t="s">
        <v>28</v>
      </c>
      <c r="M80" s="6">
        <v>44982</v>
      </c>
      <c r="N80" s="5">
        <v>299.99</v>
      </c>
      <c r="S80" t="str">
        <v>TRX0248</v>
      </c>
      <c r="T80">
        <v>45534</v>
      </c>
      <c r="U80" t="str">
        <v>CUST032</v>
      </c>
      <c r="V80" t="str">
        <v>Sandra Phillips</v>
      </c>
      <c r="W80" t="str">
        <v>P002</v>
      </c>
      <c r="X80" t="str">
        <v>Smartphone</v>
      </c>
      <c r="Y80" t="str">
        <v>Electronics</v>
      </c>
      <c r="Z80">
        <v>2</v>
      </c>
      <c r="AA80">
        <v>699.99</v>
      </c>
      <c r="AB80" t="str">
        <v>Credit Card</v>
      </c>
      <c r="AC80" t="str">
        <v>North</v>
      </c>
      <c r="AD80" t="str">
        <v>Premium</v>
      </c>
      <c r="AE80">
        <v>44421</v>
      </c>
      <c r="AF80">
        <v>1399.98</v>
      </c>
    </row>
    <row r="81" spans="1:32" ht="15.75" customHeight="1">
      <c r="A81" s="5" t="s">
        <v>216</v>
      </c>
      <c r="B81" s="6">
        <v>45501</v>
      </c>
      <c r="C81" s="5" t="s">
        <v>99</v>
      </c>
      <c r="D81" s="5" t="s">
        <v>100</v>
      </c>
      <c r="E81" s="5" t="s">
        <v>129</v>
      </c>
      <c r="F81" s="5" t="s">
        <v>22</v>
      </c>
      <c r="G81" s="5" t="s">
        <v>11</v>
      </c>
      <c r="H81" s="5">
        <v>2</v>
      </c>
      <c r="I81" s="5">
        <v>89.99</v>
      </c>
      <c r="J81" s="5" t="s">
        <v>56</v>
      </c>
      <c r="K81" s="5" t="s">
        <v>6</v>
      </c>
      <c r="L81" s="5" t="s">
        <v>28</v>
      </c>
      <c r="M81" s="6">
        <v>44976</v>
      </c>
      <c r="N81" s="5">
        <v>179.98</v>
      </c>
      <c r="S81" t="str">
        <v>TRX0099</v>
      </c>
      <c r="T81">
        <v>45537</v>
      </c>
      <c r="U81" t="str">
        <v>CUST034</v>
      </c>
      <c r="V81" t="str">
        <v>Carol Evans</v>
      </c>
      <c r="W81" t="str">
        <v>P009</v>
      </c>
      <c r="X81" t="str">
        <v>Monitor</v>
      </c>
      <c r="Y81" t="str">
        <v>Electronics</v>
      </c>
      <c r="Z81">
        <v>1</v>
      </c>
      <c r="AA81">
        <v>249.99</v>
      </c>
      <c r="AB81" t="str">
        <v>Credit Card</v>
      </c>
      <c r="AC81" t="str">
        <v>West</v>
      </c>
      <c r="AD81" t="str">
        <v>Premium</v>
      </c>
      <c r="AE81">
        <v>44685</v>
      </c>
      <c r="AF81">
        <v>249.99</v>
      </c>
    </row>
    <row r="82" spans="1:32" ht="15.75" customHeight="1">
      <c r="A82" s="5" t="s">
        <v>217</v>
      </c>
      <c r="B82" s="6">
        <v>45501</v>
      </c>
      <c r="C82" s="5" t="s">
        <v>157</v>
      </c>
      <c r="D82" s="5" t="s">
        <v>158</v>
      </c>
      <c r="E82" s="5" t="s">
        <v>118</v>
      </c>
      <c r="F82" s="5" t="s">
        <v>20</v>
      </c>
      <c r="G82" s="5" t="s">
        <v>12</v>
      </c>
      <c r="H82" s="5">
        <v>3</v>
      </c>
      <c r="I82" s="5">
        <v>299.99</v>
      </c>
      <c r="J82" s="5" t="s">
        <v>47</v>
      </c>
      <c r="K82" s="5" t="s">
        <v>3</v>
      </c>
      <c r="L82" s="5" t="s">
        <v>28</v>
      </c>
      <c r="M82" s="6">
        <v>44732</v>
      </c>
      <c r="N82" s="5">
        <v>899.97</v>
      </c>
      <c r="S82" t="str">
        <v>TRX0074</v>
      </c>
      <c r="T82">
        <v>45537</v>
      </c>
      <c r="U82" t="str">
        <v>CUST023</v>
      </c>
      <c r="V82" t="str">
        <v>Paul Baker</v>
      </c>
      <c r="W82" t="str">
        <v>P009</v>
      </c>
      <c r="X82" t="str">
        <v>Monitor</v>
      </c>
      <c r="Y82" t="str">
        <v>Electronics</v>
      </c>
      <c r="Z82">
        <v>1</v>
      </c>
      <c r="AA82">
        <v>249.99</v>
      </c>
      <c r="AB82" t="str">
        <v>Debit Card</v>
      </c>
      <c r="AC82" t="str">
        <v>North</v>
      </c>
      <c r="AD82" t="str">
        <v>Premium</v>
      </c>
      <c r="AE82">
        <v>45332</v>
      </c>
      <c r="AF82">
        <v>249.99</v>
      </c>
    </row>
    <row r="83" spans="1:32" ht="15.75" customHeight="1">
      <c r="A83" s="5" t="s">
        <v>218</v>
      </c>
      <c r="B83" s="6">
        <v>45503</v>
      </c>
      <c r="C83" s="5" t="s">
        <v>99</v>
      </c>
      <c r="D83" s="5" t="s">
        <v>100</v>
      </c>
      <c r="E83" s="5" t="s">
        <v>94</v>
      </c>
      <c r="F83" s="5" t="s">
        <v>26</v>
      </c>
      <c r="G83" s="5" t="s">
        <v>11</v>
      </c>
      <c r="H83" s="5">
        <v>2</v>
      </c>
      <c r="I83" s="5">
        <v>699.99</v>
      </c>
      <c r="J83" s="5" t="s">
        <v>51</v>
      </c>
      <c r="K83" s="5" t="s">
        <v>5</v>
      </c>
      <c r="L83" s="5" t="s">
        <v>29</v>
      </c>
      <c r="M83" s="6">
        <v>44999</v>
      </c>
      <c r="N83" s="5">
        <v>1399.98</v>
      </c>
      <c r="S83" t="str">
        <v>TRX0225</v>
      </c>
      <c r="T83">
        <v>45538</v>
      </c>
      <c r="U83" t="str">
        <v>CUST039</v>
      </c>
      <c r="V83" t="str">
        <v>Lawrence Reed</v>
      </c>
      <c r="W83" t="str">
        <v>P002</v>
      </c>
      <c r="X83" t="str">
        <v>Smartphone</v>
      </c>
      <c r="Y83" t="str">
        <v>Electronics</v>
      </c>
      <c r="Z83">
        <v>2</v>
      </c>
      <c r="AA83">
        <v>699.99</v>
      </c>
      <c r="AB83" t="str">
        <v>Debit Card</v>
      </c>
      <c r="AC83" t="str">
        <v>Central</v>
      </c>
      <c r="AD83" t="str">
        <v>Premium</v>
      </c>
      <c r="AE83">
        <v>44870</v>
      </c>
      <c r="AF83">
        <v>1399.98</v>
      </c>
    </row>
    <row r="84" spans="1:32" ht="15.75" customHeight="1">
      <c r="A84" s="5" t="s">
        <v>219</v>
      </c>
      <c r="B84" s="6">
        <v>45504</v>
      </c>
      <c r="C84" s="5" t="s">
        <v>131</v>
      </c>
      <c r="D84" s="5" t="s">
        <v>132</v>
      </c>
      <c r="E84" s="5" t="s">
        <v>76</v>
      </c>
      <c r="F84" s="5" t="s">
        <v>23</v>
      </c>
      <c r="G84" s="5" t="s">
        <v>11</v>
      </c>
      <c r="H84" s="5">
        <v>4</v>
      </c>
      <c r="I84" s="5">
        <v>899.99</v>
      </c>
      <c r="J84" s="5" t="s">
        <v>72</v>
      </c>
      <c r="K84" s="5" t="s">
        <v>6</v>
      </c>
      <c r="L84" s="5" t="s">
        <v>30</v>
      </c>
      <c r="M84" s="6">
        <v>44523</v>
      </c>
      <c r="N84" s="5">
        <v>3599.96</v>
      </c>
      <c r="S84" t="str">
        <v>TRX0211</v>
      </c>
      <c r="T84">
        <v>45548</v>
      </c>
      <c r="U84" t="str">
        <v>CUST046</v>
      </c>
      <c r="V84" t="str">
        <v>Kathleen Bennett</v>
      </c>
      <c r="W84" t="str">
        <v>P010</v>
      </c>
      <c r="X84" t="str">
        <v>Keyboard</v>
      </c>
      <c r="Y84" t="str">
        <v>Electronics</v>
      </c>
      <c r="Z84">
        <v>2</v>
      </c>
      <c r="AA84">
        <v>89.99</v>
      </c>
      <c r="AB84" t="str">
        <v>Credit Card</v>
      </c>
      <c r="AC84" t="str">
        <v>South</v>
      </c>
      <c r="AD84" t="str">
        <v>Premium</v>
      </c>
      <c r="AE84">
        <v>44641</v>
      </c>
      <c r="AF84">
        <v>179.98</v>
      </c>
    </row>
    <row r="85" spans="1:32" ht="15.75" customHeight="1">
      <c r="A85" s="5" t="s">
        <v>220</v>
      </c>
      <c r="B85" s="6">
        <v>45509</v>
      </c>
      <c r="C85" s="5" t="s">
        <v>221</v>
      </c>
      <c r="D85" s="5" t="s">
        <v>222</v>
      </c>
      <c r="E85" s="5" t="s">
        <v>63</v>
      </c>
      <c r="F85" s="5" t="s">
        <v>18</v>
      </c>
      <c r="G85" s="5" t="s">
        <v>12</v>
      </c>
      <c r="H85" s="5">
        <v>2</v>
      </c>
      <c r="I85" s="5">
        <v>149.99</v>
      </c>
      <c r="J85" s="5" t="s">
        <v>51</v>
      </c>
      <c r="K85" s="5" t="s">
        <v>7</v>
      </c>
      <c r="L85" s="5" t="s">
        <v>28</v>
      </c>
      <c r="M85" s="6">
        <v>44542</v>
      </c>
      <c r="N85" s="5">
        <v>299.98</v>
      </c>
      <c r="S85" t="str">
        <v>TRX0005</v>
      </c>
      <c r="T85">
        <v>45550</v>
      </c>
      <c r="U85" t="str">
        <v>CUST042</v>
      </c>
      <c r="V85" t="str">
        <v>Ruth Brooks</v>
      </c>
      <c r="W85" t="str">
        <v>P003</v>
      </c>
      <c r="X85" t="str">
        <v>Headphones</v>
      </c>
      <c r="Y85" t="str">
        <v>Electronics</v>
      </c>
      <c r="Z85">
        <v>4</v>
      </c>
      <c r="AA85">
        <v>149.99</v>
      </c>
      <c r="AB85" t="str">
        <v>Cash</v>
      </c>
      <c r="AC85" t="str">
        <v>North</v>
      </c>
      <c r="AD85" t="str">
        <v>Basic</v>
      </c>
      <c r="AE85">
        <v>44909</v>
      </c>
      <c r="AF85">
        <v>599.96</v>
      </c>
    </row>
    <row r="86" spans="1:32" ht="15.75" customHeight="1">
      <c r="A86" s="5" t="s">
        <v>223</v>
      </c>
      <c r="B86" s="6">
        <v>45510</v>
      </c>
      <c r="C86" s="5" t="s">
        <v>115</v>
      </c>
      <c r="D86" s="5" t="s">
        <v>116</v>
      </c>
      <c r="E86" s="5" t="s">
        <v>63</v>
      </c>
      <c r="F86" s="5" t="s">
        <v>18</v>
      </c>
      <c r="G86" s="5" t="s">
        <v>12</v>
      </c>
      <c r="H86" s="5">
        <v>2</v>
      </c>
      <c r="I86" s="5">
        <v>149.99</v>
      </c>
      <c r="J86" s="5" t="s">
        <v>72</v>
      </c>
      <c r="K86" s="5" t="s">
        <v>4</v>
      </c>
      <c r="L86" s="5" t="s">
        <v>30</v>
      </c>
      <c r="M86" s="6">
        <v>44667</v>
      </c>
      <c r="N86" s="5">
        <v>299.98</v>
      </c>
      <c r="S86" t="str">
        <v>TRX0195</v>
      </c>
      <c r="T86">
        <v>45551</v>
      </c>
      <c r="U86" t="str">
        <v>CUST026</v>
      </c>
      <c r="V86" t="str">
        <v>Karen Hill</v>
      </c>
      <c r="W86" t="str">
        <v>P009</v>
      </c>
      <c r="X86" t="str">
        <v>Monitor</v>
      </c>
      <c r="Y86" t="str">
        <v>Electronics</v>
      </c>
      <c r="Z86">
        <v>2</v>
      </c>
      <c r="AA86">
        <v>249.99</v>
      </c>
      <c r="AB86" t="str">
        <v>PayPal</v>
      </c>
      <c r="AC86" t="str">
        <v>South</v>
      </c>
      <c r="AD86" t="str">
        <v>Basic</v>
      </c>
      <c r="AE86">
        <v>44993</v>
      </c>
      <c r="AF86">
        <v>499.98</v>
      </c>
    </row>
    <row r="87" spans="1:32" ht="15.75" customHeight="1">
      <c r="A87" s="5" t="s">
        <v>224</v>
      </c>
      <c r="B87" s="6">
        <v>45513</v>
      </c>
      <c r="C87" s="5" t="s">
        <v>102</v>
      </c>
      <c r="D87" s="5" t="s">
        <v>103</v>
      </c>
      <c r="E87" s="5" t="s">
        <v>129</v>
      </c>
      <c r="F87" s="5" t="s">
        <v>22</v>
      </c>
      <c r="G87" s="5" t="s">
        <v>11</v>
      </c>
      <c r="H87" s="5">
        <v>1</v>
      </c>
      <c r="I87" s="5">
        <v>89.99</v>
      </c>
      <c r="J87" s="5" t="s">
        <v>51</v>
      </c>
      <c r="K87" s="5" t="s">
        <v>5</v>
      </c>
      <c r="L87" s="5" t="s">
        <v>30</v>
      </c>
      <c r="M87" s="6">
        <v>45393</v>
      </c>
      <c r="N87" s="5">
        <v>89.99</v>
      </c>
      <c r="S87" t="str">
        <v>TRX0077</v>
      </c>
      <c r="T87">
        <v>45554</v>
      </c>
      <c r="U87" t="str">
        <v>CUST019</v>
      </c>
      <c r="V87" t="str">
        <v>Daniel King</v>
      </c>
      <c r="W87" t="str">
        <v>P010</v>
      </c>
      <c r="X87" t="str">
        <v>Keyboard</v>
      </c>
      <c r="Y87" t="str">
        <v>Electronics</v>
      </c>
      <c r="Z87">
        <v>5</v>
      </c>
      <c r="AA87">
        <v>89.99</v>
      </c>
      <c r="AB87" t="str">
        <v>Credit Card</v>
      </c>
      <c r="AC87" t="str">
        <v>East</v>
      </c>
      <c r="AD87" t="str">
        <v>Premium</v>
      </c>
      <c r="AE87">
        <v>44446</v>
      </c>
      <c r="AF87">
        <v>449.95</v>
      </c>
    </row>
    <row r="88" spans="1:32" ht="15.75" customHeight="1">
      <c r="A88" s="5" t="s">
        <v>225</v>
      </c>
      <c r="B88" s="6">
        <v>45515</v>
      </c>
      <c r="C88" s="5" t="s">
        <v>99</v>
      </c>
      <c r="D88" s="5" t="s">
        <v>100</v>
      </c>
      <c r="E88" s="5" t="s">
        <v>118</v>
      </c>
      <c r="F88" s="5" t="s">
        <v>20</v>
      </c>
      <c r="G88" s="5" t="s">
        <v>12</v>
      </c>
      <c r="H88" s="5">
        <v>5</v>
      </c>
      <c r="I88" s="5">
        <v>299.99</v>
      </c>
      <c r="J88" s="5" t="s">
        <v>51</v>
      </c>
      <c r="K88" s="5" t="s">
        <v>5</v>
      </c>
      <c r="L88" s="5" t="s">
        <v>28</v>
      </c>
      <c r="M88" s="6">
        <v>44965</v>
      </c>
      <c r="N88" s="5">
        <v>1499.95</v>
      </c>
      <c r="S88" t="str">
        <v>TRX0111</v>
      </c>
      <c r="T88">
        <v>45554</v>
      </c>
      <c r="U88" t="str">
        <v>CUST011</v>
      </c>
      <c r="V88" t="str">
        <v>William White</v>
      </c>
      <c r="W88" t="str">
        <v>P003</v>
      </c>
      <c r="X88" t="str">
        <v>Headphones</v>
      </c>
      <c r="Y88" t="str">
        <v>Electronics</v>
      </c>
      <c r="Z88">
        <v>1</v>
      </c>
      <c r="AA88">
        <v>149.99</v>
      </c>
      <c r="AB88" t="str">
        <v>PayPal</v>
      </c>
      <c r="AC88" t="str">
        <v>East</v>
      </c>
      <c r="AD88" t="str">
        <v>Standard</v>
      </c>
      <c r="AE88">
        <v>44482</v>
      </c>
      <c r="AF88">
        <v>149.99</v>
      </c>
    </row>
    <row r="89" spans="1:32" ht="15.75" customHeight="1">
      <c r="A89" s="5" t="s">
        <v>226</v>
      </c>
      <c r="B89" s="6">
        <v>45517</v>
      </c>
      <c r="C89" s="5" t="s">
        <v>192</v>
      </c>
      <c r="D89" s="5" t="s">
        <v>193</v>
      </c>
      <c r="E89" s="5" t="s">
        <v>68</v>
      </c>
      <c r="F89" s="5" t="s">
        <v>21</v>
      </c>
      <c r="G89" s="5" t="s">
        <v>11</v>
      </c>
      <c r="H89" s="5">
        <v>4</v>
      </c>
      <c r="I89" s="5">
        <v>149.99</v>
      </c>
      <c r="J89" s="5" t="s">
        <v>72</v>
      </c>
      <c r="K89" s="5" t="s">
        <v>6</v>
      </c>
      <c r="L89" s="5" t="s">
        <v>29</v>
      </c>
      <c r="M89" s="6">
        <v>44820</v>
      </c>
      <c r="N89" s="5">
        <v>599.96</v>
      </c>
      <c r="S89" t="str">
        <v>TRX0123</v>
      </c>
      <c r="T89">
        <v>45554</v>
      </c>
      <c r="U89" t="str">
        <v>CUST041</v>
      </c>
      <c r="V89" t="str">
        <v>Peter Richardson</v>
      </c>
      <c r="W89" t="str">
        <v>P002</v>
      </c>
      <c r="X89" t="str">
        <v>Smartphone</v>
      </c>
      <c r="Y89" t="str">
        <v>Electronics</v>
      </c>
      <c r="Z89">
        <v>4</v>
      </c>
      <c r="AA89">
        <v>699.99</v>
      </c>
      <c r="AB89" t="str">
        <v>PayPal</v>
      </c>
      <c r="AC89" t="str">
        <v>South</v>
      </c>
      <c r="AD89" t="str">
        <v>Basic</v>
      </c>
      <c r="AE89">
        <v>44618</v>
      </c>
      <c r="AF89">
        <v>2799.96</v>
      </c>
    </row>
    <row r="90" spans="1:32" ht="15.75" customHeight="1">
      <c r="A90" s="5" t="s">
        <v>227</v>
      </c>
      <c r="B90" s="6">
        <v>45517</v>
      </c>
      <c r="C90" s="5" t="s">
        <v>195</v>
      </c>
      <c r="D90" s="5" t="s">
        <v>196</v>
      </c>
      <c r="E90" s="5" t="s">
        <v>46</v>
      </c>
      <c r="F90" s="5" t="s">
        <v>24</v>
      </c>
      <c r="G90" s="5" t="s">
        <v>11</v>
      </c>
      <c r="H90" s="5">
        <v>5</v>
      </c>
      <c r="I90" s="5">
        <v>249.99</v>
      </c>
      <c r="J90" s="5" t="s">
        <v>56</v>
      </c>
      <c r="K90" s="5" t="s">
        <v>4</v>
      </c>
      <c r="L90" s="5" t="s">
        <v>29</v>
      </c>
      <c r="M90" s="6">
        <v>44782</v>
      </c>
      <c r="N90" s="5">
        <v>1249.95</v>
      </c>
      <c r="S90" t="str">
        <v>TRX0177</v>
      </c>
      <c r="T90">
        <v>45559</v>
      </c>
      <c r="U90" t="str">
        <v>CUST032</v>
      </c>
      <c r="V90" t="str">
        <v>Sandra Phillips</v>
      </c>
      <c r="W90" t="str">
        <v>P001</v>
      </c>
      <c r="X90" t="str">
        <v>Laptop</v>
      </c>
      <c r="Y90" t="str">
        <v>Electronics</v>
      </c>
      <c r="Z90">
        <v>3</v>
      </c>
      <c r="AA90">
        <v>899.99</v>
      </c>
      <c r="AB90" t="str">
        <v>Credit Card</v>
      </c>
      <c r="AC90" t="str">
        <v>North</v>
      </c>
      <c r="AD90" t="str">
        <v>Standard</v>
      </c>
      <c r="AE90">
        <v>45157</v>
      </c>
      <c r="AF90">
        <v>2699.97</v>
      </c>
    </row>
    <row r="91" spans="1:32" ht="15.75" customHeight="1">
      <c r="A91" s="5" t="s">
        <v>228</v>
      </c>
      <c r="B91" s="6">
        <v>45517</v>
      </c>
      <c r="C91" s="5" t="s">
        <v>78</v>
      </c>
      <c r="D91" s="5" t="s">
        <v>79</v>
      </c>
      <c r="E91" s="5" t="s">
        <v>46</v>
      </c>
      <c r="F91" s="5" t="s">
        <v>24</v>
      </c>
      <c r="G91" s="5" t="s">
        <v>11</v>
      </c>
      <c r="H91" s="5">
        <v>3</v>
      </c>
      <c r="I91" s="5">
        <v>249.99</v>
      </c>
      <c r="J91" s="5" t="s">
        <v>56</v>
      </c>
      <c r="K91" s="5" t="s">
        <v>5</v>
      </c>
      <c r="L91" s="5" t="s">
        <v>29</v>
      </c>
      <c r="M91" s="6">
        <v>44465</v>
      </c>
      <c r="N91" s="5">
        <v>749.97</v>
      </c>
      <c r="S91" t="str">
        <v>TRX0203</v>
      </c>
      <c r="T91">
        <v>45572</v>
      </c>
      <c r="U91" t="str">
        <v>CUST032</v>
      </c>
      <c r="V91" t="str">
        <v>Sandra Phillips</v>
      </c>
      <c r="W91" t="str">
        <v>P003</v>
      </c>
      <c r="X91" t="str">
        <v>Headphones</v>
      </c>
      <c r="Y91" t="str">
        <v>Electronics</v>
      </c>
      <c r="Z91">
        <v>4</v>
      </c>
      <c r="AA91">
        <v>149.99</v>
      </c>
      <c r="AB91" t="str">
        <v>Credit Card</v>
      </c>
      <c r="AC91" t="str">
        <v>North</v>
      </c>
      <c r="AD91" t="str">
        <v>Premium</v>
      </c>
      <c r="AE91">
        <v>45076</v>
      </c>
      <c r="AF91">
        <v>599.96</v>
      </c>
    </row>
    <row r="92" spans="1:32" ht="15.75" customHeight="1">
      <c r="A92" s="5" t="s">
        <v>229</v>
      </c>
      <c r="B92" s="6">
        <v>45517</v>
      </c>
      <c r="C92" s="5" t="s">
        <v>58</v>
      </c>
      <c r="D92" s="5" t="s">
        <v>59</v>
      </c>
      <c r="E92" s="5" t="s">
        <v>137</v>
      </c>
      <c r="F92" s="5" t="s">
        <v>25</v>
      </c>
      <c r="G92" s="5" t="s">
        <v>12</v>
      </c>
      <c r="H92" s="5">
        <v>4</v>
      </c>
      <c r="I92" s="5">
        <v>199.99</v>
      </c>
      <c r="J92" s="5" t="s">
        <v>47</v>
      </c>
      <c r="K92" s="5" t="s">
        <v>5</v>
      </c>
      <c r="L92" s="5" t="s">
        <v>30</v>
      </c>
      <c r="M92" s="6">
        <v>44458</v>
      </c>
      <c r="N92" s="5">
        <v>799.96</v>
      </c>
      <c r="S92" t="str">
        <v>TRX0055</v>
      </c>
      <c r="T92">
        <v>45573</v>
      </c>
      <c r="U92" t="str">
        <v>CUST016</v>
      </c>
      <c r="V92" t="str">
        <v>Elizabeth Hall</v>
      </c>
      <c r="W92" t="str">
        <v>P002</v>
      </c>
      <c r="X92" t="str">
        <v>Smartphone</v>
      </c>
      <c r="Y92" t="str">
        <v>Electronics</v>
      </c>
      <c r="Z92">
        <v>2</v>
      </c>
      <c r="AA92">
        <v>699.99</v>
      </c>
      <c r="AB92" t="str">
        <v>Debit Card</v>
      </c>
      <c r="AC92" t="str">
        <v>East</v>
      </c>
      <c r="AD92" t="str">
        <v>Premium</v>
      </c>
      <c r="AE92">
        <v>45274</v>
      </c>
      <c r="AF92">
        <v>1399.98</v>
      </c>
    </row>
    <row r="93" spans="1:32" ht="15.75" customHeight="1">
      <c r="A93" s="5" t="s">
        <v>230</v>
      </c>
      <c r="B93" s="6">
        <v>45519</v>
      </c>
      <c r="C93" s="5" t="s">
        <v>168</v>
      </c>
      <c r="D93" s="5" t="s">
        <v>169</v>
      </c>
      <c r="E93" s="5" t="s">
        <v>137</v>
      </c>
      <c r="F93" s="5" t="s">
        <v>25</v>
      </c>
      <c r="G93" s="5" t="s">
        <v>12</v>
      </c>
      <c r="H93" s="5">
        <v>5</v>
      </c>
      <c r="I93" s="5">
        <v>199.99</v>
      </c>
      <c r="J93" s="5" t="s">
        <v>47</v>
      </c>
      <c r="K93" s="5" t="s">
        <v>5</v>
      </c>
      <c r="L93" s="5" t="s">
        <v>29</v>
      </c>
      <c r="M93" s="6">
        <v>44991</v>
      </c>
      <c r="N93" s="5">
        <v>999.95</v>
      </c>
      <c r="S93" t="str">
        <v>TRX0158</v>
      </c>
      <c r="T93">
        <v>45579</v>
      </c>
      <c r="U93" t="str">
        <v>CUST027</v>
      </c>
      <c r="V93" t="str">
        <v>George Adams</v>
      </c>
      <c r="W93" t="str">
        <v>P001</v>
      </c>
      <c r="X93" t="str">
        <v>Laptop</v>
      </c>
      <c r="Y93" t="str">
        <v>Electronics</v>
      </c>
      <c r="Z93">
        <v>3</v>
      </c>
      <c r="AA93">
        <v>899.99</v>
      </c>
      <c r="AB93" t="str">
        <v>PayPal</v>
      </c>
      <c r="AC93" t="str">
        <v>West</v>
      </c>
      <c r="AD93" t="str">
        <v>Basic</v>
      </c>
      <c r="AE93">
        <v>45215</v>
      </c>
      <c r="AF93">
        <v>2699.97</v>
      </c>
    </row>
    <row r="94" spans="1:32" ht="15.75" customHeight="1">
      <c r="A94" s="5" t="s">
        <v>231</v>
      </c>
      <c r="B94" s="6">
        <v>45522</v>
      </c>
      <c r="C94" s="5" t="s">
        <v>99</v>
      </c>
      <c r="D94" s="5" t="s">
        <v>100</v>
      </c>
      <c r="E94" s="5" t="s">
        <v>129</v>
      </c>
      <c r="F94" s="5" t="s">
        <v>22</v>
      </c>
      <c r="G94" s="5" t="s">
        <v>11</v>
      </c>
      <c r="H94" s="5">
        <v>2</v>
      </c>
      <c r="I94" s="5">
        <v>89.99</v>
      </c>
      <c r="J94" s="5" t="s">
        <v>47</v>
      </c>
      <c r="K94" s="5" t="s">
        <v>4</v>
      </c>
      <c r="L94" s="5" t="s">
        <v>29</v>
      </c>
      <c r="M94" s="6">
        <v>44972</v>
      </c>
      <c r="N94" s="5">
        <v>179.98</v>
      </c>
      <c r="S94" t="str">
        <v>TRX0173</v>
      </c>
      <c r="T94">
        <v>45581</v>
      </c>
      <c r="U94" t="str">
        <v>CUST018</v>
      </c>
      <c r="V94" t="str">
        <v>Barbara Young</v>
      </c>
      <c r="W94" t="str">
        <v>P002</v>
      </c>
      <c r="X94" t="str">
        <v>Smartphone</v>
      </c>
      <c r="Y94" t="str">
        <v>Electronics</v>
      </c>
      <c r="Z94">
        <v>5</v>
      </c>
      <c r="AA94">
        <v>699.99</v>
      </c>
      <c r="AB94" t="str">
        <v>Cash</v>
      </c>
      <c r="AC94" t="str">
        <v>East</v>
      </c>
      <c r="AD94" t="str">
        <v>Standard</v>
      </c>
      <c r="AE94">
        <v>45008</v>
      </c>
      <c r="AF94">
        <v>3499.95</v>
      </c>
    </row>
    <row r="95" spans="1:32" ht="15.75" customHeight="1">
      <c r="A95" s="5" t="s">
        <v>232</v>
      </c>
      <c r="B95" s="6">
        <v>45523</v>
      </c>
      <c r="C95" s="5" t="s">
        <v>206</v>
      </c>
      <c r="D95" s="5" t="s">
        <v>207</v>
      </c>
      <c r="E95" s="5" t="s">
        <v>76</v>
      </c>
      <c r="F95" s="5" t="s">
        <v>23</v>
      </c>
      <c r="G95" s="5" t="s">
        <v>11</v>
      </c>
      <c r="H95" s="5">
        <v>5</v>
      </c>
      <c r="I95" s="5">
        <v>899.99</v>
      </c>
      <c r="J95" s="5" t="s">
        <v>72</v>
      </c>
      <c r="K95" s="5" t="s">
        <v>4</v>
      </c>
      <c r="L95" s="5" t="s">
        <v>28</v>
      </c>
      <c r="M95" s="6">
        <v>44526</v>
      </c>
      <c r="N95" s="5">
        <v>4499.95</v>
      </c>
      <c r="S95" t="str">
        <v>TRX0034</v>
      </c>
      <c r="T95">
        <v>45581</v>
      </c>
      <c r="U95" t="str">
        <v>CUST049</v>
      </c>
      <c r="V95" t="str">
        <v>Raymond Ross</v>
      </c>
      <c r="W95" t="str">
        <v>P002</v>
      </c>
      <c r="X95" t="str">
        <v>Smartphone</v>
      </c>
      <c r="Y95" t="str">
        <v>Electronics</v>
      </c>
      <c r="Z95">
        <v>4</v>
      </c>
      <c r="AA95">
        <v>699.99</v>
      </c>
      <c r="AB95" t="str">
        <v>Credit Card</v>
      </c>
      <c r="AC95" t="str">
        <v>Central</v>
      </c>
      <c r="AD95" t="str">
        <v>Basic</v>
      </c>
      <c r="AE95">
        <v>45385</v>
      </c>
      <c r="AF95">
        <v>2799.96</v>
      </c>
    </row>
    <row r="96" spans="1:32" ht="15.75" customHeight="1">
      <c r="A96" s="5" t="s">
        <v>233</v>
      </c>
      <c r="B96" s="6">
        <v>45523</v>
      </c>
      <c r="C96" s="5" t="s">
        <v>120</v>
      </c>
      <c r="D96" s="5" t="s">
        <v>121</v>
      </c>
      <c r="E96" s="5" t="s">
        <v>68</v>
      </c>
      <c r="F96" s="5" t="s">
        <v>21</v>
      </c>
      <c r="G96" s="5" t="s">
        <v>11</v>
      </c>
      <c r="H96" s="5">
        <v>3</v>
      </c>
      <c r="I96" s="5">
        <v>149.99</v>
      </c>
      <c r="J96" s="5" t="s">
        <v>56</v>
      </c>
      <c r="K96" s="5" t="s">
        <v>4</v>
      </c>
      <c r="L96" s="5" t="s">
        <v>28</v>
      </c>
      <c r="M96" s="6">
        <v>44574</v>
      </c>
      <c r="N96" s="5">
        <v>449.97</v>
      </c>
      <c r="S96" t="str">
        <v>TRX0189</v>
      </c>
      <c r="T96">
        <v>45581</v>
      </c>
      <c r="U96" t="str">
        <v>CUST040</v>
      </c>
      <c r="V96" t="str">
        <v>Sharon Butler</v>
      </c>
      <c r="W96" t="str">
        <v>P001</v>
      </c>
      <c r="X96" t="str">
        <v>Laptop</v>
      </c>
      <c r="Y96" t="str">
        <v>Electronics</v>
      </c>
      <c r="Z96">
        <v>1</v>
      </c>
      <c r="AA96">
        <v>899.99</v>
      </c>
      <c r="AB96" t="str">
        <v>Credit Card</v>
      </c>
      <c r="AC96" t="str">
        <v>East</v>
      </c>
      <c r="AD96" t="str">
        <v>Standard</v>
      </c>
      <c r="AE96">
        <v>45369</v>
      </c>
      <c r="AF96">
        <v>899.99</v>
      </c>
    </row>
    <row r="97" spans="1:32" ht="15.75" customHeight="1">
      <c r="A97" s="5" t="s">
        <v>234</v>
      </c>
      <c r="B97" s="6">
        <v>45526</v>
      </c>
      <c r="C97" s="5" t="s">
        <v>115</v>
      </c>
      <c r="D97" s="5" t="s">
        <v>116</v>
      </c>
      <c r="E97" s="5" t="s">
        <v>63</v>
      </c>
      <c r="F97" s="5" t="s">
        <v>18</v>
      </c>
      <c r="G97" s="5" t="s">
        <v>12</v>
      </c>
      <c r="H97" s="5">
        <v>5</v>
      </c>
      <c r="I97" s="5">
        <v>149.99</v>
      </c>
      <c r="J97" s="5" t="s">
        <v>51</v>
      </c>
      <c r="K97" s="5" t="s">
        <v>3</v>
      </c>
      <c r="L97" s="5" t="s">
        <v>28</v>
      </c>
      <c r="M97" s="6">
        <v>45310</v>
      </c>
      <c r="N97" s="5">
        <v>749.95</v>
      </c>
      <c r="S97" t="str">
        <v>TRX0190</v>
      </c>
      <c r="T97">
        <v>45583</v>
      </c>
      <c r="U97" t="str">
        <v>CUST039</v>
      </c>
      <c r="V97" t="str">
        <v>Lawrence Reed</v>
      </c>
      <c r="W97" t="str">
        <v>P003</v>
      </c>
      <c r="X97" t="str">
        <v>Headphones</v>
      </c>
      <c r="Y97" t="str">
        <v>Electronics</v>
      </c>
      <c r="Z97">
        <v>2</v>
      </c>
      <c r="AA97">
        <v>149.99</v>
      </c>
      <c r="AB97" t="str">
        <v>Credit Card</v>
      </c>
      <c r="AC97" t="str">
        <v>West</v>
      </c>
      <c r="AD97" t="str">
        <v>Basic</v>
      </c>
      <c r="AE97">
        <v>44916</v>
      </c>
      <c r="AF97">
        <v>299.98</v>
      </c>
    </row>
    <row r="98" spans="1:32" ht="15.75" customHeight="1">
      <c r="A98" s="5" t="s">
        <v>235</v>
      </c>
      <c r="B98" s="6">
        <v>45528</v>
      </c>
      <c r="C98" s="5" t="s">
        <v>236</v>
      </c>
      <c r="D98" s="5" t="s">
        <v>237</v>
      </c>
      <c r="E98" s="5" t="s">
        <v>127</v>
      </c>
      <c r="F98" s="5" t="s">
        <v>19</v>
      </c>
      <c r="G98" s="5" t="s">
        <v>10</v>
      </c>
      <c r="H98" s="5">
        <v>3</v>
      </c>
      <c r="I98" s="5">
        <v>79.989999999999995</v>
      </c>
      <c r="J98" s="5" t="s">
        <v>47</v>
      </c>
      <c r="K98" s="5" t="s">
        <v>3</v>
      </c>
      <c r="L98" s="5" t="s">
        <v>29</v>
      </c>
      <c r="M98" s="6">
        <v>44779</v>
      </c>
      <c r="N98" s="5">
        <v>239.97</v>
      </c>
      <c r="S98" t="str">
        <v>TRX0079</v>
      </c>
      <c r="T98">
        <v>45586</v>
      </c>
      <c r="U98" t="str">
        <v>CUST039</v>
      </c>
      <c r="V98" t="str">
        <v>Lawrence Reed</v>
      </c>
      <c r="W98" t="str">
        <v>P010</v>
      </c>
      <c r="X98" t="str">
        <v>Keyboard</v>
      </c>
      <c r="Y98" t="str">
        <v>Electronics</v>
      </c>
      <c r="Z98">
        <v>3</v>
      </c>
      <c r="AA98">
        <v>89.99</v>
      </c>
      <c r="AB98" t="str">
        <v>PayPal</v>
      </c>
      <c r="AC98" t="str">
        <v>Central</v>
      </c>
      <c r="AD98" t="str">
        <v>Basic</v>
      </c>
      <c r="AE98">
        <v>44551</v>
      </c>
      <c r="AF98">
        <v>269.97000000000003</v>
      </c>
    </row>
    <row r="99" spans="1:32" ht="15.75" customHeight="1">
      <c r="A99" s="5" t="s">
        <v>238</v>
      </c>
      <c r="B99" s="6">
        <v>45528</v>
      </c>
      <c r="C99" s="5" t="s">
        <v>154</v>
      </c>
      <c r="D99" s="5" t="s">
        <v>155</v>
      </c>
      <c r="E99" s="5" t="s">
        <v>46</v>
      </c>
      <c r="F99" s="5" t="s">
        <v>24</v>
      </c>
      <c r="G99" s="5" t="s">
        <v>11</v>
      </c>
      <c r="H99" s="5">
        <v>2</v>
      </c>
      <c r="I99" s="5">
        <v>249.99</v>
      </c>
      <c r="J99" s="5" t="s">
        <v>47</v>
      </c>
      <c r="K99" s="5" t="s">
        <v>6</v>
      </c>
      <c r="L99" s="5" t="s">
        <v>30</v>
      </c>
      <c r="M99" s="6">
        <v>44572</v>
      </c>
      <c r="N99" s="5">
        <v>499.98</v>
      </c>
      <c r="S99" t="str">
        <v>TRX0095</v>
      </c>
      <c r="T99">
        <v>45588</v>
      </c>
      <c r="U99" t="str">
        <v>CUST046</v>
      </c>
      <c r="V99" t="str">
        <v>Kathleen Bennett</v>
      </c>
      <c r="W99" t="str">
        <v>P003</v>
      </c>
      <c r="X99" t="str">
        <v>Headphones</v>
      </c>
      <c r="Y99" t="str">
        <v>Electronics</v>
      </c>
      <c r="Z99">
        <v>2</v>
      </c>
      <c r="AA99">
        <v>149.99</v>
      </c>
      <c r="AB99" t="str">
        <v>PayPal</v>
      </c>
      <c r="AC99" t="str">
        <v>Central</v>
      </c>
      <c r="AD99" t="str">
        <v>Basic</v>
      </c>
      <c r="AE99">
        <v>44473</v>
      </c>
      <c r="AF99">
        <v>299.98</v>
      </c>
    </row>
    <row r="100" spans="1:32" ht="15.75" customHeight="1">
      <c r="A100" s="5" t="s">
        <v>239</v>
      </c>
      <c r="B100" s="6">
        <v>45532</v>
      </c>
      <c r="C100" s="5" t="s">
        <v>206</v>
      </c>
      <c r="D100" s="5" t="s">
        <v>207</v>
      </c>
      <c r="E100" s="5" t="s">
        <v>94</v>
      </c>
      <c r="F100" s="5" t="s">
        <v>26</v>
      </c>
      <c r="G100" s="5" t="s">
        <v>11</v>
      </c>
      <c r="H100" s="5">
        <v>1</v>
      </c>
      <c r="I100" s="5">
        <v>699.99</v>
      </c>
      <c r="J100" s="5" t="s">
        <v>47</v>
      </c>
      <c r="K100" s="5" t="s">
        <v>3</v>
      </c>
      <c r="L100" s="5" t="s">
        <v>29</v>
      </c>
      <c r="M100" s="6">
        <v>44497</v>
      </c>
      <c r="N100" s="5">
        <v>699.99</v>
      </c>
      <c r="S100" t="str">
        <v>TRX0009</v>
      </c>
      <c r="T100">
        <v>45588</v>
      </c>
      <c r="U100" t="str">
        <v>CUST004</v>
      </c>
      <c r="V100" t="str">
        <v>Sarah Davis</v>
      </c>
      <c r="W100" t="str">
        <v>P002</v>
      </c>
      <c r="X100" t="str">
        <v>Smartphone</v>
      </c>
      <c r="Y100" t="str">
        <v>Electronics</v>
      </c>
      <c r="Z100">
        <v>2</v>
      </c>
      <c r="AA100">
        <v>699.99</v>
      </c>
      <c r="AB100" t="str">
        <v>Cash</v>
      </c>
      <c r="AC100" t="str">
        <v>Central</v>
      </c>
      <c r="AD100" t="str">
        <v>Basic</v>
      </c>
      <c r="AE100">
        <v>44992</v>
      </c>
      <c r="AF100">
        <v>1399.98</v>
      </c>
    </row>
    <row r="101" spans="1:32" ht="15.75" customHeight="1">
      <c r="A101" s="5" t="s">
        <v>240</v>
      </c>
      <c r="B101" s="6">
        <v>45532</v>
      </c>
      <c r="C101" s="5" t="s">
        <v>241</v>
      </c>
      <c r="D101" s="5" t="s">
        <v>242</v>
      </c>
      <c r="E101" s="5" t="s">
        <v>68</v>
      </c>
      <c r="F101" s="5" t="s">
        <v>21</v>
      </c>
      <c r="G101" s="5" t="s">
        <v>11</v>
      </c>
      <c r="H101" s="5">
        <v>3</v>
      </c>
      <c r="I101" s="5">
        <v>149.99</v>
      </c>
      <c r="J101" s="5" t="s">
        <v>47</v>
      </c>
      <c r="K101" s="5" t="s">
        <v>7</v>
      </c>
      <c r="L101" s="5" t="s">
        <v>29</v>
      </c>
      <c r="M101" s="6">
        <v>45212</v>
      </c>
      <c r="N101" s="5">
        <v>449.97</v>
      </c>
      <c r="S101" t="str">
        <v>TRX0167</v>
      </c>
      <c r="T101">
        <v>45589</v>
      </c>
      <c r="U101" t="str">
        <v>CUST028</v>
      </c>
      <c r="V101" t="str">
        <v>Betty Campbell</v>
      </c>
      <c r="W101" t="str">
        <v>P002</v>
      </c>
      <c r="X101" t="str">
        <v>Smartphone</v>
      </c>
      <c r="Y101" t="str">
        <v>Electronics</v>
      </c>
      <c r="Z101">
        <v>5</v>
      </c>
      <c r="AA101">
        <v>699.99</v>
      </c>
      <c r="AB101" t="str">
        <v>Cash</v>
      </c>
      <c r="AC101" t="str">
        <v>North</v>
      </c>
      <c r="AD101" t="str">
        <v>Premium</v>
      </c>
      <c r="AE101">
        <v>44635</v>
      </c>
      <c r="AF101">
        <v>3499.95</v>
      </c>
    </row>
    <row r="102" spans="1:32" ht="15.75" customHeight="1">
      <c r="A102" s="5" t="s">
        <v>243</v>
      </c>
      <c r="B102" s="6">
        <v>45534</v>
      </c>
      <c r="C102" s="5" t="s">
        <v>244</v>
      </c>
      <c r="D102" s="5" t="s">
        <v>245</v>
      </c>
      <c r="E102" s="5" t="s">
        <v>94</v>
      </c>
      <c r="F102" s="5" t="s">
        <v>26</v>
      </c>
      <c r="G102" s="5" t="s">
        <v>11</v>
      </c>
      <c r="H102" s="5">
        <v>2</v>
      </c>
      <c r="I102" s="5">
        <v>699.99</v>
      </c>
      <c r="J102" s="5" t="s">
        <v>51</v>
      </c>
      <c r="K102" s="5" t="s">
        <v>5</v>
      </c>
      <c r="L102" s="5" t="s">
        <v>29</v>
      </c>
      <c r="M102" s="6">
        <v>44421</v>
      </c>
      <c r="N102" s="5">
        <v>1399.98</v>
      </c>
      <c r="S102" t="str">
        <v>TRX0153</v>
      </c>
      <c r="T102">
        <v>45592</v>
      </c>
      <c r="U102" t="str">
        <v>CUST049</v>
      </c>
      <c r="V102" t="str">
        <v>Raymond Ross</v>
      </c>
      <c r="W102" t="str">
        <v>P010</v>
      </c>
      <c r="X102" t="str">
        <v>Keyboard</v>
      </c>
      <c r="Y102" t="str">
        <v>Electronics</v>
      </c>
      <c r="Z102">
        <v>3</v>
      </c>
      <c r="AA102">
        <v>89.99</v>
      </c>
      <c r="AB102" t="str">
        <v>Credit Card</v>
      </c>
      <c r="AC102" t="str">
        <v>North</v>
      </c>
      <c r="AD102" t="str">
        <v>Standard</v>
      </c>
      <c r="AE102">
        <v>44615</v>
      </c>
      <c r="AF102">
        <v>269.97000000000003</v>
      </c>
    </row>
    <row r="103" spans="1:32" ht="15.75" customHeight="1">
      <c r="A103" s="5" t="s">
        <v>246</v>
      </c>
      <c r="B103" s="6">
        <v>45537</v>
      </c>
      <c r="C103" s="5" t="s">
        <v>241</v>
      </c>
      <c r="D103" s="5" t="s">
        <v>242</v>
      </c>
      <c r="E103" s="5" t="s">
        <v>46</v>
      </c>
      <c r="F103" s="5" t="s">
        <v>24</v>
      </c>
      <c r="G103" s="5" t="s">
        <v>11</v>
      </c>
      <c r="H103" s="5">
        <v>1</v>
      </c>
      <c r="I103" s="5">
        <v>249.99</v>
      </c>
      <c r="J103" s="5" t="s">
        <v>51</v>
      </c>
      <c r="K103" s="5" t="s">
        <v>7</v>
      </c>
      <c r="L103" s="5" t="s">
        <v>29</v>
      </c>
      <c r="M103" s="6">
        <v>44685</v>
      </c>
      <c r="N103" s="5">
        <v>249.99</v>
      </c>
      <c r="S103" t="str">
        <v>TRX0057</v>
      </c>
      <c r="T103">
        <v>45597</v>
      </c>
      <c r="U103" t="str">
        <v>CUST023</v>
      </c>
      <c r="V103" t="str">
        <v>Paul Baker</v>
      </c>
      <c r="W103" t="str">
        <v>P009</v>
      </c>
      <c r="X103" t="str">
        <v>Monitor</v>
      </c>
      <c r="Y103" t="str">
        <v>Electronics</v>
      </c>
      <c r="Z103">
        <v>5</v>
      </c>
      <c r="AA103">
        <v>249.99</v>
      </c>
      <c r="AB103" t="str">
        <v>Credit Card</v>
      </c>
      <c r="AC103" t="str">
        <v>South</v>
      </c>
      <c r="AD103" t="str">
        <v>Standard</v>
      </c>
      <c r="AE103">
        <v>44881</v>
      </c>
      <c r="AF103">
        <v>1249.95</v>
      </c>
    </row>
    <row r="104" spans="1:32" ht="15.75" customHeight="1">
      <c r="A104" s="5" t="s">
        <v>247</v>
      </c>
      <c r="B104" s="6">
        <v>45537</v>
      </c>
      <c r="C104" s="5" t="s">
        <v>44</v>
      </c>
      <c r="D104" s="5" t="s">
        <v>45</v>
      </c>
      <c r="E104" s="5" t="s">
        <v>46</v>
      </c>
      <c r="F104" s="5" t="s">
        <v>24</v>
      </c>
      <c r="G104" s="5" t="s">
        <v>11</v>
      </c>
      <c r="H104" s="5">
        <v>1</v>
      </c>
      <c r="I104" s="5">
        <v>249.99</v>
      </c>
      <c r="J104" s="5" t="s">
        <v>72</v>
      </c>
      <c r="K104" s="5" t="s">
        <v>5</v>
      </c>
      <c r="L104" s="5" t="s">
        <v>29</v>
      </c>
      <c r="M104" s="6">
        <v>45332</v>
      </c>
      <c r="N104" s="5">
        <v>249.99</v>
      </c>
      <c r="S104" t="str">
        <v>TRX0060</v>
      </c>
      <c r="T104">
        <v>45603</v>
      </c>
      <c r="U104" t="str">
        <v>CUST012</v>
      </c>
      <c r="V104" t="str">
        <v>Patricia Moore</v>
      </c>
      <c r="W104" t="str">
        <v>P010</v>
      </c>
      <c r="X104" t="str">
        <v>Keyboard</v>
      </c>
      <c r="Y104" t="str">
        <v>Electronics</v>
      </c>
      <c r="Z104">
        <v>3</v>
      </c>
      <c r="AA104">
        <v>89.99</v>
      </c>
      <c r="AB104" t="str">
        <v>Credit Card</v>
      </c>
      <c r="AC104" t="str">
        <v>North</v>
      </c>
      <c r="AD104" t="str">
        <v>Premium</v>
      </c>
      <c r="AE104">
        <v>44420</v>
      </c>
      <c r="AF104">
        <v>269.97000000000003</v>
      </c>
    </row>
    <row r="105" spans="1:32" ht="15.75" customHeight="1">
      <c r="A105" s="5" t="s">
        <v>248</v>
      </c>
      <c r="B105" s="6">
        <v>45538</v>
      </c>
      <c r="C105" s="5" t="s">
        <v>236</v>
      </c>
      <c r="D105" s="5" t="s">
        <v>237</v>
      </c>
      <c r="E105" s="5" t="s">
        <v>94</v>
      </c>
      <c r="F105" s="5" t="s">
        <v>26</v>
      </c>
      <c r="G105" s="5" t="s">
        <v>11</v>
      </c>
      <c r="H105" s="5">
        <v>2</v>
      </c>
      <c r="I105" s="5">
        <v>699.99</v>
      </c>
      <c r="J105" s="5" t="s">
        <v>72</v>
      </c>
      <c r="K105" s="5" t="s">
        <v>3</v>
      </c>
      <c r="L105" s="5" t="s">
        <v>29</v>
      </c>
      <c r="M105" s="6">
        <v>44870</v>
      </c>
      <c r="N105" s="5">
        <v>1399.98</v>
      </c>
      <c r="S105" t="str">
        <v>TRX0090</v>
      </c>
      <c r="T105">
        <v>45605</v>
      </c>
      <c r="U105" t="str">
        <v>CUST020</v>
      </c>
      <c r="V105" t="str">
        <v>Margaret Wright</v>
      </c>
      <c r="W105" t="str">
        <v>P009</v>
      </c>
      <c r="X105" t="str">
        <v>Monitor</v>
      </c>
      <c r="Y105" t="str">
        <v>Electronics</v>
      </c>
      <c r="Z105">
        <v>1</v>
      </c>
      <c r="AA105">
        <v>249.99</v>
      </c>
      <c r="AB105" t="str">
        <v>Credit Card</v>
      </c>
      <c r="AC105" t="str">
        <v>North</v>
      </c>
      <c r="AD105" t="str">
        <v>Premium</v>
      </c>
      <c r="AE105">
        <v>44828</v>
      </c>
      <c r="AF105">
        <v>249.99</v>
      </c>
    </row>
    <row r="106" spans="1:32" ht="15.75" customHeight="1">
      <c r="A106" s="5" t="s">
        <v>249</v>
      </c>
      <c r="B106" s="6">
        <v>45541</v>
      </c>
      <c r="C106" s="5" t="s">
        <v>148</v>
      </c>
      <c r="D106" s="5" t="s">
        <v>149</v>
      </c>
      <c r="E106" s="5" t="s">
        <v>55</v>
      </c>
      <c r="F106" s="5" t="s">
        <v>17</v>
      </c>
      <c r="G106" s="5" t="s">
        <v>10</v>
      </c>
      <c r="H106" s="5">
        <v>3</v>
      </c>
      <c r="I106" s="5">
        <v>59.99</v>
      </c>
      <c r="J106" s="5" t="s">
        <v>51</v>
      </c>
      <c r="K106" s="5" t="s">
        <v>3</v>
      </c>
      <c r="L106" s="5" t="s">
        <v>29</v>
      </c>
      <c r="M106" s="6">
        <v>44717</v>
      </c>
      <c r="N106" s="5">
        <v>179.97</v>
      </c>
      <c r="S106" t="str">
        <v>TRX0035</v>
      </c>
      <c r="T106">
        <v>45607</v>
      </c>
      <c r="U106" t="str">
        <v>CUST041</v>
      </c>
      <c r="V106" t="str">
        <v>Peter Richardson</v>
      </c>
      <c r="W106" t="str">
        <v>P003</v>
      </c>
      <c r="X106" t="str">
        <v>Headphones</v>
      </c>
      <c r="Y106" t="str">
        <v>Electronics</v>
      </c>
      <c r="Z106">
        <v>3</v>
      </c>
      <c r="AA106">
        <v>149.99</v>
      </c>
      <c r="AB106" t="str">
        <v>Cash</v>
      </c>
      <c r="AC106" t="str">
        <v>North</v>
      </c>
      <c r="AD106" t="str">
        <v>Basic</v>
      </c>
      <c r="AE106">
        <v>44769</v>
      </c>
      <c r="AF106">
        <v>449.97</v>
      </c>
    </row>
    <row r="107" spans="1:32" ht="15.75" customHeight="1">
      <c r="A107" s="5" t="s">
        <v>250</v>
      </c>
      <c r="B107" s="6">
        <v>45544</v>
      </c>
      <c r="C107" s="5" t="s">
        <v>142</v>
      </c>
      <c r="D107" s="5" t="s">
        <v>143</v>
      </c>
      <c r="E107" s="5" t="s">
        <v>55</v>
      </c>
      <c r="F107" s="5" t="s">
        <v>17</v>
      </c>
      <c r="G107" s="5" t="s">
        <v>10</v>
      </c>
      <c r="H107" s="5">
        <v>3</v>
      </c>
      <c r="I107" s="5">
        <v>59.99</v>
      </c>
      <c r="J107" s="5" t="s">
        <v>56</v>
      </c>
      <c r="K107" s="5" t="s">
        <v>4</v>
      </c>
      <c r="L107" s="5" t="s">
        <v>30</v>
      </c>
      <c r="M107" s="6">
        <v>44748</v>
      </c>
      <c r="N107" s="5">
        <v>179.97</v>
      </c>
      <c r="S107" t="str">
        <v>TRX0076</v>
      </c>
      <c r="T107">
        <v>45607</v>
      </c>
      <c r="U107" t="str">
        <v>CUST012</v>
      </c>
      <c r="V107" t="str">
        <v>Patricia Moore</v>
      </c>
      <c r="W107" t="str">
        <v>P009</v>
      </c>
      <c r="X107" t="str">
        <v>Monitor</v>
      </c>
      <c r="Y107" t="str">
        <v>Electronics</v>
      </c>
      <c r="Z107">
        <v>4</v>
      </c>
      <c r="AA107">
        <v>249.99</v>
      </c>
      <c r="AB107" t="str">
        <v>Credit Card</v>
      </c>
      <c r="AC107" t="str">
        <v>West</v>
      </c>
      <c r="AD107" t="str">
        <v>Standard</v>
      </c>
      <c r="AE107">
        <v>44659</v>
      </c>
      <c r="AF107">
        <v>999.96</v>
      </c>
    </row>
    <row r="108" spans="1:32" ht="15.75" customHeight="1">
      <c r="A108" s="5" t="s">
        <v>251</v>
      </c>
      <c r="B108" s="6">
        <v>45544</v>
      </c>
      <c r="C108" s="5" t="s">
        <v>151</v>
      </c>
      <c r="D108" s="5" t="s">
        <v>152</v>
      </c>
      <c r="E108" s="5" t="s">
        <v>127</v>
      </c>
      <c r="F108" s="5" t="s">
        <v>19</v>
      </c>
      <c r="G108" s="5" t="s">
        <v>10</v>
      </c>
      <c r="H108" s="5">
        <v>4</v>
      </c>
      <c r="I108" s="5">
        <v>79.989999999999995</v>
      </c>
      <c r="J108" s="5" t="s">
        <v>47</v>
      </c>
      <c r="K108" s="5" t="s">
        <v>5</v>
      </c>
      <c r="L108" s="5" t="s">
        <v>28</v>
      </c>
      <c r="M108" s="6">
        <v>44530</v>
      </c>
      <c r="N108" s="5">
        <v>319.95999999999998</v>
      </c>
      <c r="S108" t="str">
        <v>TRX0033</v>
      </c>
      <c r="T108">
        <v>45613</v>
      </c>
      <c r="U108" t="str">
        <v>CUST025</v>
      </c>
      <c r="V108" t="str">
        <v>Mark Carter</v>
      </c>
      <c r="W108" t="str">
        <v>P002</v>
      </c>
      <c r="X108" t="str">
        <v>Smartphone</v>
      </c>
      <c r="Y108" t="str">
        <v>Electronics</v>
      </c>
      <c r="Z108">
        <v>2</v>
      </c>
      <c r="AA108">
        <v>699.99</v>
      </c>
      <c r="AB108" t="str">
        <v>PayPal</v>
      </c>
      <c r="AC108" t="str">
        <v>West</v>
      </c>
      <c r="AD108" t="str">
        <v>Standard</v>
      </c>
      <c r="AE108">
        <v>44770</v>
      </c>
      <c r="AF108">
        <v>1399.98</v>
      </c>
    </row>
    <row r="109" spans="1:32" ht="15.75" customHeight="1">
      <c r="A109" s="5" t="s">
        <v>252</v>
      </c>
      <c r="B109" s="6">
        <v>45545</v>
      </c>
      <c r="C109" s="5" t="s">
        <v>70</v>
      </c>
      <c r="D109" s="5" t="s">
        <v>71</v>
      </c>
      <c r="E109" s="5" t="s">
        <v>127</v>
      </c>
      <c r="F109" s="5" t="s">
        <v>19</v>
      </c>
      <c r="G109" s="5" t="s">
        <v>10</v>
      </c>
      <c r="H109" s="5">
        <v>1</v>
      </c>
      <c r="I109" s="5">
        <v>79.989999999999995</v>
      </c>
      <c r="J109" s="5" t="s">
        <v>47</v>
      </c>
      <c r="K109" s="5" t="s">
        <v>7</v>
      </c>
      <c r="L109" s="5" t="s">
        <v>28</v>
      </c>
      <c r="M109" s="6">
        <v>44693</v>
      </c>
      <c r="N109" s="5">
        <v>79.989999999999995</v>
      </c>
      <c r="S109" t="str">
        <v>TRX0148</v>
      </c>
      <c r="T109">
        <v>45619</v>
      </c>
      <c r="U109" t="str">
        <v>CUST004</v>
      </c>
      <c r="V109" t="str">
        <v>Sarah Davis</v>
      </c>
      <c r="W109" t="str">
        <v>P002</v>
      </c>
      <c r="X109" t="str">
        <v>Smartphone</v>
      </c>
      <c r="Y109" t="str">
        <v>Electronics</v>
      </c>
      <c r="Z109">
        <v>3</v>
      </c>
      <c r="AA109">
        <v>699.99</v>
      </c>
      <c r="AB109" t="str">
        <v>PayPal</v>
      </c>
      <c r="AC109" t="str">
        <v>West</v>
      </c>
      <c r="AD109" t="str">
        <v>Standard</v>
      </c>
      <c r="AE109">
        <v>44583</v>
      </c>
      <c r="AF109">
        <v>2099.9699999999998</v>
      </c>
    </row>
    <row r="110" spans="1:32" ht="15.75" customHeight="1">
      <c r="A110" s="5" t="s">
        <v>253</v>
      </c>
      <c r="B110" s="6">
        <v>45547</v>
      </c>
      <c r="C110" s="5" t="s">
        <v>65</v>
      </c>
      <c r="D110" s="5" t="s">
        <v>66</v>
      </c>
      <c r="E110" s="5" t="s">
        <v>118</v>
      </c>
      <c r="F110" s="5" t="s">
        <v>20</v>
      </c>
      <c r="G110" s="5" t="s">
        <v>12</v>
      </c>
      <c r="H110" s="5">
        <v>3</v>
      </c>
      <c r="I110" s="5">
        <v>299.99</v>
      </c>
      <c r="J110" s="5" t="s">
        <v>51</v>
      </c>
      <c r="K110" s="5" t="s">
        <v>3</v>
      </c>
      <c r="L110" s="5" t="s">
        <v>29</v>
      </c>
      <c r="M110" s="6">
        <v>44494</v>
      </c>
      <c r="N110" s="5">
        <v>899.97</v>
      </c>
      <c r="S110" t="str">
        <v>TRX0012</v>
      </c>
      <c r="T110">
        <v>45622</v>
      </c>
      <c r="U110" t="str">
        <v>CUST045</v>
      </c>
      <c r="V110" t="str">
        <v>Douglas Watson</v>
      </c>
      <c r="W110" t="str">
        <v>P009</v>
      </c>
      <c r="X110" t="str">
        <v>Monitor</v>
      </c>
      <c r="Y110" t="str">
        <v>Electronics</v>
      </c>
      <c r="Z110">
        <v>5</v>
      </c>
      <c r="AA110">
        <v>249.99</v>
      </c>
      <c r="AB110" t="str">
        <v>Credit Card</v>
      </c>
      <c r="AC110" t="str">
        <v>North</v>
      </c>
      <c r="AD110" t="str">
        <v>Basic</v>
      </c>
      <c r="AE110">
        <v>44873</v>
      </c>
      <c r="AF110">
        <v>1249.95</v>
      </c>
    </row>
    <row r="111" spans="1:32" ht="15.75" customHeight="1">
      <c r="A111" s="5" t="s">
        <v>254</v>
      </c>
      <c r="B111" s="6">
        <v>45548</v>
      </c>
      <c r="C111" s="5" t="s">
        <v>58</v>
      </c>
      <c r="D111" s="5" t="s">
        <v>59</v>
      </c>
      <c r="E111" s="5" t="s">
        <v>129</v>
      </c>
      <c r="F111" s="5" t="s">
        <v>22</v>
      </c>
      <c r="G111" s="5" t="s">
        <v>11</v>
      </c>
      <c r="H111" s="5">
        <v>2</v>
      </c>
      <c r="I111" s="5">
        <v>89.99</v>
      </c>
      <c r="J111" s="5" t="s">
        <v>51</v>
      </c>
      <c r="K111" s="5" t="s">
        <v>6</v>
      </c>
      <c r="L111" s="5" t="s">
        <v>29</v>
      </c>
      <c r="M111" s="6">
        <v>44641</v>
      </c>
      <c r="N111" s="5">
        <v>179.98</v>
      </c>
      <c r="S111" t="str">
        <v>TRX0094</v>
      </c>
      <c r="T111">
        <v>45627</v>
      </c>
      <c r="U111" t="str">
        <v>CUST017</v>
      </c>
      <c r="V111" t="str">
        <v>Charles Allen</v>
      </c>
      <c r="W111" t="str">
        <v>P009</v>
      </c>
      <c r="X111" t="str">
        <v>Monitor</v>
      </c>
      <c r="Y111" t="str">
        <v>Electronics</v>
      </c>
      <c r="Z111">
        <v>5</v>
      </c>
      <c r="AA111">
        <v>249.99</v>
      </c>
      <c r="AB111" t="str">
        <v>Cash</v>
      </c>
      <c r="AC111" t="str">
        <v>Central</v>
      </c>
      <c r="AD111" t="str">
        <v>Premium</v>
      </c>
      <c r="AE111">
        <v>44485</v>
      </c>
      <c r="AF111">
        <v>1249.95</v>
      </c>
    </row>
    <row r="112" spans="1:32" ht="15.75" customHeight="1">
      <c r="A112" s="5" t="s">
        <v>255</v>
      </c>
      <c r="B112" s="6">
        <v>45550</v>
      </c>
      <c r="C112" s="5" t="s">
        <v>256</v>
      </c>
      <c r="D112" s="5" t="s">
        <v>257</v>
      </c>
      <c r="E112" s="5" t="s">
        <v>68</v>
      </c>
      <c r="F112" s="5" t="s">
        <v>21</v>
      </c>
      <c r="G112" s="5" t="s">
        <v>11</v>
      </c>
      <c r="H112" s="5">
        <v>4</v>
      </c>
      <c r="I112" s="5">
        <v>149.99</v>
      </c>
      <c r="J112" s="5" t="s">
        <v>47</v>
      </c>
      <c r="K112" s="5" t="s">
        <v>5</v>
      </c>
      <c r="L112" s="5" t="s">
        <v>28</v>
      </c>
      <c r="M112" s="6">
        <v>44909</v>
      </c>
      <c r="N112" s="5">
        <v>599.96</v>
      </c>
      <c r="S112" t="str">
        <v>TRX0133</v>
      </c>
      <c r="T112">
        <v>45627</v>
      </c>
      <c r="U112" t="str">
        <v>CUST013</v>
      </c>
      <c r="V112" t="str">
        <v>Joseph Jackson</v>
      </c>
      <c r="W112" t="str">
        <v>P003</v>
      </c>
      <c r="X112" t="str">
        <v>Headphones</v>
      </c>
      <c r="Y112" t="str">
        <v>Electronics</v>
      </c>
      <c r="Z112">
        <v>2</v>
      </c>
      <c r="AA112">
        <v>149.99</v>
      </c>
      <c r="AB112" t="str">
        <v>Cash</v>
      </c>
      <c r="AC112" t="str">
        <v>South</v>
      </c>
      <c r="AD112" t="str">
        <v>Premium</v>
      </c>
      <c r="AE112">
        <v>44475</v>
      </c>
      <c r="AF112">
        <v>299.98</v>
      </c>
    </row>
    <row r="113" spans="1:32" ht="15.75" customHeight="1">
      <c r="A113" s="5" t="s">
        <v>258</v>
      </c>
      <c r="B113" s="6">
        <v>45551</v>
      </c>
      <c r="C113" s="5" t="s">
        <v>78</v>
      </c>
      <c r="D113" s="5" t="s">
        <v>79</v>
      </c>
      <c r="E113" s="5" t="s">
        <v>46</v>
      </c>
      <c r="F113" s="5" t="s">
        <v>24</v>
      </c>
      <c r="G113" s="5" t="s">
        <v>11</v>
      </c>
      <c r="H113" s="5">
        <v>2</v>
      </c>
      <c r="I113" s="5">
        <v>249.99</v>
      </c>
      <c r="J113" s="5" t="s">
        <v>56</v>
      </c>
      <c r="K113" s="5" t="s">
        <v>6</v>
      </c>
      <c r="L113" s="5" t="s">
        <v>28</v>
      </c>
      <c r="M113" s="6">
        <v>44993</v>
      </c>
      <c r="N113" s="5">
        <v>499.98</v>
      </c>
      <c r="S113" t="str">
        <v>TRX0201</v>
      </c>
      <c r="T113">
        <v>45627</v>
      </c>
      <c r="U113" t="str">
        <v>CUST025</v>
      </c>
      <c r="V113" t="str">
        <v>Mark Carter</v>
      </c>
      <c r="W113" t="str">
        <v>P002</v>
      </c>
      <c r="X113" t="str">
        <v>Smartphone</v>
      </c>
      <c r="Y113" t="str">
        <v>Electronics</v>
      </c>
      <c r="Z113">
        <v>5</v>
      </c>
      <c r="AA113">
        <v>699.99</v>
      </c>
      <c r="AB113" t="str">
        <v>Debit Card</v>
      </c>
      <c r="AC113" t="str">
        <v>West</v>
      </c>
      <c r="AD113" t="str">
        <v>Standard</v>
      </c>
      <c r="AE113">
        <v>44944</v>
      </c>
      <c r="AF113">
        <v>3499.95</v>
      </c>
    </row>
    <row r="114" spans="1:32" ht="15.75" customHeight="1">
      <c r="A114" s="5" t="s">
        <v>259</v>
      </c>
      <c r="B114" s="6">
        <v>45551</v>
      </c>
      <c r="C114" s="5" t="s">
        <v>164</v>
      </c>
      <c r="D114" s="5" t="s">
        <v>165</v>
      </c>
      <c r="E114" s="5" t="s">
        <v>137</v>
      </c>
      <c r="F114" s="5" t="s">
        <v>25</v>
      </c>
      <c r="G114" s="5" t="s">
        <v>12</v>
      </c>
      <c r="H114" s="5">
        <v>4</v>
      </c>
      <c r="I114" s="5">
        <v>199.99</v>
      </c>
      <c r="J114" s="5" t="s">
        <v>72</v>
      </c>
      <c r="K114" s="5" t="s">
        <v>4</v>
      </c>
      <c r="L114" s="5" t="s">
        <v>28</v>
      </c>
      <c r="M114" s="6">
        <v>44458</v>
      </c>
      <c r="N114" s="5">
        <v>799.96</v>
      </c>
      <c r="S114" t="str">
        <v>TRX0137</v>
      </c>
      <c r="T114">
        <v>45629</v>
      </c>
      <c r="U114" t="str">
        <v>CUST011</v>
      </c>
      <c r="V114" t="str">
        <v>William White</v>
      </c>
      <c r="W114" t="str">
        <v>P009</v>
      </c>
      <c r="X114" t="str">
        <v>Monitor</v>
      </c>
      <c r="Y114" t="str">
        <v>Electronics</v>
      </c>
      <c r="Z114">
        <v>4</v>
      </c>
      <c r="AA114">
        <v>249.99</v>
      </c>
      <c r="AB114" t="str">
        <v>PayPal</v>
      </c>
      <c r="AC114" t="str">
        <v>East</v>
      </c>
      <c r="AD114" t="str">
        <v>Premium</v>
      </c>
      <c r="AE114">
        <v>45098</v>
      </c>
      <c r="AF114">
        <v>999.96</v>
      </c>
    </row>
    <row r="115" spans="1:32" ht="15.75" customHeight="1">
      <c r="A115" s="5" t="s">
        <v>260</v>
      </c>
      <c r="B115" s="6">
        <v>45554</v>
      </c>
      <c r="C115" s="5" t="s">
        <v>157</v>
      </c>
      <c r="D115" s="5" t="s">
        <v>158</v>
      </c>
      <c r="E115" s="5" t="s">
        <v>129</v>
      </c>
      <c r="F115" s="5" t="s">
        <v>22</v>
      </c>
      <c r="G115" s="5" t="s">
        <v>11</v>
      </c>
      <c r="H115" s="5">
        <v>5</v>
      </c>
      <c r="I115" s="5">
        <v>89.99</v>
      </c>
      <c r="J115" s="5" t="s">
        <v>51</v>
      </c>
      <c r="K115" s="5" t="s">
        <v>4</v>
      </c>
      <c r="L115" s="5" t="s">
        <v>29</v>
      </c>
      <c r="M115" s="6">
        <v>44446</v>
      </c>
      <c r="N115" s="5">
        <v>449.95</v>
      </c>
      <c r="S115" t="str">
        <v>TRX0066</v>
      </c>
      <c r="T115">
        <v>45630</v>
      </c>
      <c r="U115" t="str">
        <v>CUST024</v>
      </c>
      <c r="V115" t="str">
        <v>Dorothy Nelson</v>
      </c>
      <c r="W115" t="str">
        <v>P002</v>
      </c>
      <c r="X115" t="str">
        <v>Smartphone</v>
      </c>
      <c r="Y115" t="str">
        <v>Electronics</v>
      </c>
      <c r="Z115">
        <v>4</v>
      </c>
      <c r="AA115">
        <v>699.99</v>
      </c>
      <c r="AB115" t="str">
        <v>Credit Card</v>
      </c>
      <c r="AC115" t="str">
        <v>North</v>
      </c>
      <c r="AD115" t="str">
        <v>Premium</v>
      </c>
      <c r="AE115">
        <v>44703</v>
      </c>
      <c r="AF115">
        <v>2799.96</v>
      </c>
    </row>
    <row r="116" spans="1:32" ht="15.75" customHeight="1">
      <c r="A116" s="5" t="s">
        <v>261</v>
      </c>
      <c r="B116" s="6">
        <v>45554</v>
      </c>
      <c r="C116" s="5" t="s">
        <v>262</v>
      </c>
      <c r="D116" s="5" t="s">
        <v>263</v>
      </c>
      <c r="E116" s="5" t="s">
        <v>68</v>
      </c>
      <c r="F116" s="5" t="s">
        <v>21</v>
      </c>
      <c r="G116" s="5" t="s">
        <v>11</v>
      </c>
      <c r="H116" s="5">
        <v>1</v>
      </c>
      <c r="I116" s="5">
        <v>149.99</v>
      </c>
      <c r="J116" s="5" t="s">
        <v>56</v>
      </c>
      <c r="K116" s="5" t="s">
        <v>4</v>
      </c>
      <c r="L116" s="5" t="s">
        <v>30</v>
      </c>
      <c r="M116" s="6">
        <v>44482</v>
      </c>
      <c r="N116" s="5">
        <v>149.99</v>
      </c>
      <c r="S116" t="str">
        <v>TRX0180</v>
      </c>
      <c r="T116">
        <v>45635</v>
      </c>
      <c r="U116" t="str">
        <v>CUST036</v>
      </c>
      <c r="V116" t="str">
        <v>Nancy Collins</v>
      </c>
      <c r="W116" t="str">
        <v>P009</v>
      </c>
      <c r="X116" t="str">
        <v>Monitor</v>
      </c>
      <c r="Y116" t="str">
        <v>Electronics</v>
      </c>
      <c r="Z116">
        <v>2</v>
      </c>
      <c r="AA116">
        <v>249.99</v>
      </c>
      <c r="AB116" t="str">
        <v>Credit Card</v>
      </c>
      <c r="AC116" t="str">
        <v>Central</v>
      </c>
      <c r="AD116" t="str">
        <v>Premium</v>
      </c>
      <c r="AE116">
        <v>44396</v>
      </c>
      <c r="AF116">
        <v>499.98</v>
      </c>
    </row>
    <row r="117" spans="1:32" ht="15.75" customHeight="1">
      <c r="A117" s="5" t="s">
        <v>264</v>
      </c>
      <c r="B117" s="6">
        <v>45554</v>
      </c>
      <c r="C117" s="5" t="s">
        <v>85</v>
      </c>
      <c r="D117" s="5" t="s">
        <v>86</v>
      </c>
      <c r="E117" s="5" t="s">
        <v>94</v>
      </c>
      <c r="F117" s="5" t="s">
        <v>26</v>
      </c>
      <c r="G117" s="5" t="s">
        <v>11</v>
      </c>
      <c r="H117" s="5">
        <v>4</v>
      </c>
      <c r="I117" s="5">
        <v>699.99</v>
      </c>
      <c r="J117" s="5" t="s">
        <v>56</v>
      </c>
      <c r="K117" s="5" t="s">
        <v>6</v>
      </c>
      <c r="L117" s="5" t="s">
        <v>28</v>
      </c>
      <c r="M117" s="6">
        <v>44618</v>
      </c>
      <c r="N117" s="5">
        <v>2799.96</v>
      </c>
      <c r="S117" t="str">
        <v>TRX0032</v>
      </c>
      <c r="T117">
        <v>45638</v>
      </c>
      <c r="U117" t="str">
        <v>CUST041</v>
      </c>
      <c r="V117" t="str">
        <v>Peter Richardson</v>
      </c>
      <c r="W117" t="str">
        <v>P001</v>
      </c>
      <c r="X117" t="str">
        <v>Laptop</v>
      </c>
      <c r="Y117" t="str">
        <v>Electronics</v>
      </c>
      <c r="Z117">
        <v>2</v>
      </c>
      <c r="AA117">
        <v>899.99</v>
      </c>
      <c r="AB117" t="str">
        <v>Cash</v>
      </c>
      <c r="AC117" t="str">
        <v>North</v>
      </c>
      <c r="AD117" t="str">
        <v>Basic</v>
      </c>
      <c r="AE117">
        <v>44406</v>
      </c>
      <c r="AF117">
        <v>1799.98</v>
      </c>
    </row>
    <row r="118" spans="1:32" ht="15.75" customHeight="1">
      <c r="A118" s="5" t="s">
        <v>265</v>
      </c>
      <c r="B118" s="6">
        <v>45559</v>
      </c>
      <c r="C118" s="5" t="s">
        <v>244</v>
      </c>
      <c r="D118" s="5" t="s">
        <v>245</v>
      </c>
      <c r="E118" s="5" t="s">
        <v>76</v>
      </c>
      <c r="F118" s="5" t="s">
        <v>23</v>
      </c>
      <c r="G118" s="5" t="s">
        <v>11</v>
      </c>
      <c r="H118" s="5">
        <v>3</v>
      </c>
      <c r="I118" s="5">
        <v>899.99</v>
      </c>
      <c r="J118" s="5" t="s">
        <v>51</v>
      </c>
      <c r="K118" s="5" t="s">
        <v>5</v>
      </c>
      <c r="L118" s="5" t="s">
        <v>30</v>
      </c>
      <c r="M118" s="6">
        <v>45157</v>
      </c>
      <c r="N118" s="5">
        <v>2699.97</v>
      </c>
      <c r="S118" t="str">
        <v>TRX0183</v>
      </c>
      <c r="T118">
        <v>45645</v>
      </c>
      <c r="U118" t="str">
        <v>CUST007</v>
      </c>
      <c r="V118" t="str">
        <v>David Martinez</v>
      </c>
      <c r="W118" t="str">
        <v>P010</v>
      </c>
      <c r="X118" t="str">
        <v>Keyboard</v>
      </c>
      <c r="Y118" t="str">
        <v>Electronics</v>
      </c>
      <c r="Z118">
        <v>1</v>
      </c>
      <c r="AA118">
        <v>89.99</v>
      </c>
      <c r="AB118" t="str">
        <v>Debit Card</v>
      </c>
      <c r="AC118" t="str">
        <v>Central</v>
      </c>
      <c r="AD118" t="str">
        <v>Standard</v>
      </c>
      <c r="AE118">
        <v>44760</v>
      </c>
      <c r="AF118">
        <v>89.99</v>
      </c>
    </row>
    <row r="119" spans="1:32" ht="15.75" customHeight="1">
      <c r="A119" s="5" t="s">
        <v>266</v>
      </c>
      <c r="B119" s="6">
        <v>45560</v>
      </c>
      <c r="C119" s="5" t="s">
        <v>125</v>
      </c>
      <c r="D119" s="5" t="s">
        <v>126</v>
      </c>
      <c r="E119" s="5" t="s">
        <v>63</v>
      </c>
      <c r="F119" s="5" t="s">
        <v>18</v>
      </c>
      <c r="G119" s="5" t="s">
        <v>12</v>
      </c>
      <c r="H119" s="5">
        <v>3</v>
      </c>
      <c r="I119" s="5">
        <v>149.99</v>
      </c>
      <c r="J119" s="5" t="s">
        <v>56</v>
      </c>
      <c r="K119" s="5" t="s">
        <v>4</v>
      </c>
      <c r="L119" s="5" t="s">
        <v>28</v>
      </c>
      <c r="M119" s="6">
        <v>44886</v>
      </c>
      <c r="N119" s="5">
        <v>449.97</v>
      </c>
      <c r="S119" t="str">
        <v>TRX0163</v>
      </c>
      <c r="T119">
        <v>45645</v>
      </c>
      <c r="U119" t="str">
        <v>CUST019</v>
      </c>
      <c r="V119" t="str">
        <v>Daniel King</v>
      </c>
      <c r="W119" t="str">
        <v>P001</v>
      </c>
      <c r="X119" t="str">
        <v>Laptop</v>
      </c>
      <c r="Y119" t="str">
        <v>Electronics</v>
      </c>
      <c r="Z119">
        <v>5</v>
      </c>
      <c r="AA119">
        <v>899.99</v>
      </c>
      <c r="AB119" t="str">
        <v>Debit Card</v>
      </c>
      <c r="AC119" t="str">
        <v>East</v>
      </c>
      <c r="AD119" t="str">
        <v>Standard</v>
      </c>
      <c r="AE119">
        <v>44625</v>
      </c>
      <c r="AF119">
        <v>4499.95</v>
      </c>
    </row>
    <row r="120" spans="1:32" ht="15.75" customHeight="1">
      <c r="A120" s="5" t="s">
        <v>267</v>
      </c>
      <c r="B120" s="6">
        <v>45563</v>
      </c>
      <c r="C120" s="5" t="s">
        <v>112</v>
      </c>
      <c r="D120" s="5" t="s">
        <v>113</v>
      </c>
      <c r="E120" s="5" t="s">
        <v>118</v>
      </c>
      <c r="F120" s="5" t="s">
        <v>20</v>
      </c>
      <c r="G120" s="5" t="s">
        <v>12</v>
      </c>
      <c r="H120" s="5">
        <v>2</v>
      </c>
      <c r="I120" s="5">
        <v>299.99</v>
      </c>
      <c r="J120" s="5" t="s">
        <v>72</v>
      </c>
      <c r="K120" s="5" t="s">
        <v>3</v>
      </c>
      <c r="L120" s="5" t="s">
        <v>28</v>
      </c>
      <c r="M120" s="6">
        <v>44569</v>
      </c>
      <c r="N120" s="5">
        <v>599.98</v>
      </c>
      <c r="S120" t="str">
        <v>TRX0164</v>
      </c>
      <c r="T120">
        <v>45648</v>
      </c>
      <c r="U120" t="str">
        <v>CUST014</v>
      </c>
      <c r="V120" t="str">
        <v>Linda Martin</v>
      </c>
      <c r="W120" t="str">
        <v>P003</v>
      </c>
      <c r="X120" t="str">
        <v>Headphones</v>
      </c>
      <c r="Y120" t="str">
        <v>Electronics</v>
      </c>
      <c r="Z120">
        <v>2</v>
      </c>
      <c r="AA120">
        <v>149.99</v>
      </c>
      <c r="AB120" t="str">
        <v>Debit Card</v>
      </c>
      <c r="AC120" t="str">
        <v>West</v>
      </c>
      <c r="AD120" t="str">
        <v>Premium</v>
      </c>
      <c r="AE120">
        <v>45280</v>
      </c>
      <c r="AF120">
        <v>299.98</v>
      </c>
    </row>
    <row r="121" spans="1:32" ht="15.75" customHeight="1">
      <c r="A121" s="5" t="s">
        <v>268</v>
      </c>
      <c r="B121" s="6">
        <v>45564</v>
      </c>
      <c r="C121" s="5" t="s">
        <v>269</v>
      </c>
      <c r="D121" s="5" t="s">
        <v>270</v>
      </c>
      <c r="E121" s="5" t="s">
        <v>137</v>
      </c>
      <c r="F121" s="5" t="s">
        <v>25</v>
      </c>
      <c r="G121" s="5" t="s">
        <v>12</v>
      </c>
      <c r="H121" s="5">
        <v>1</v>
      </c>
      <c r="I121" s="5">
        <v>199.99</v>
      </c>
      <c r="J121" s="5" t="s">
        <v>72</v>
      </c>
      <c r="K121" s="5" t="s">
        <v>4</v>
      </c>
      <c r="L121" s="5" t="s">
        <v>30</v>
      </c>
      <c r="M121" s="6">
        <v>44953</v>
      </c>
      <c r="N121" s="5">
        <v>199.99</v>
      </c>
      <c r="S121" t="str">
        <v>TRX0156</v>
      </c>
      <c r="T121">
        <v>45655</v>
      </c>
      <c r="U121" t="str">
        <v>CUST009</v>
      </c>
      <c r="V121" t="str">
        <v>Robert Thomas</v>
      </c>
      <c r="W121" t="str">
        <v>P010</v>
      </c>
      <c r="X121" t="str">
        <v>Keyboard</v>
      </c>
      <c r="Y121" t="str">
        <v>Electronics</v>
      </c>
      <c r="Z121">
        <v>1</v>
      </c>
      <c r="AA121">
        <v>89.99</v>
      </c>
      <c r="AB121" t="str">
        <v>Credit Card</v>
      </c>
      <c r="AC121" t="str">
        <v>South</v>
      </c>
      <c r="AD121" t="str">
        <v>Premium</v>
      </c>
      <c r="AE121">
        <v>44591</v>
      </c>
      <c r="AF121">
        <v>89.99</v>
      </c>
    </row>
    <row r="122" spans="1:32" ht="15.75" customHeight="1">
      <c r="A122" s="5" t="s">
        <v>271</v>
      </c>
      <c r="B122" s="6">
        <v>45566</v>
      </c>
      <c r="C122" s="5" t="s">
        <v>61</v>
      </c>
      <c r="D122" s="5" t="s">
        <v>62</v>
      </c>
      <c r="E122" s="5" t="s">
        <v>118</v>
      </c>
      <c r="F122" s="5" t="s">
        <v>20</v>
      </c>
      <c r="G122" s="5" t="s">
        <v>12</v>
      </c>
      <c r="H122" s="5">
        <v>4</v>
      </c>
      <c r="I122" s="5">
        <v>299.99</v>
      </c>
      <c r="J122" s="5" t="s">
        <v>47</v>
      </c>
      <c r="K122" s="5" t="s">
        <v>3</v>
      </c>
      <c r="L122" s="5" t="s">
        <v>29</v>
      </c>
      <c r="M122" s="6">
        <v>44460</v>
      </c>
      <c r="N122" s="5">
        <v>1199.96</v>
      </c>
      <c r="S122" t="str">
        <v>TRX0207</v>
      </c>
      <c r="T122">
        <v>45657</v>
      </c>
      <c r="U122" t="str">
        <v>CUST025</v>
      </c>
      <c r="V122" t="str">
        <v>Mark Carter</v>
      </c>
      <c r="W122" t="str">
        <v>P001</v>
      </c>
      <c r="X122" t="str">
        <v>Laptop</v>
      </c>
      <c r="Y122" t="str">
        <v>Electronics</v>
      </c>
      <c r="Z122">
        <v>1</v>
      </c>
      <c r="AA122">
        <v>899.99</v>
      </c>
      <c r="AB122" t="str">
        <v>PayPal</v>
      </c>
      <c r="AC122" t="str">
        <v>North</v>
      </c>
      <c r="AD122" t="str">
        <v>Premium</v>
      </c>
      <c r="AE122">
        <v>45050</v>
      </c>
      <c r="AF122">
        <v>899.99</v>
      </c>
    </row>
    <row r="123" spans="1:32" ht="15.75" customHeight="1">
      <c r="A123" s="5" t="s">
        <v>272</v>
      </c>
      <c r="B123" s="6">
        <v>45572</v>
      </c>
      <c r="C123" s="5" t="s">
        <v>102</v>
      </c>
      <c r="D123" s="5" t="s">
        <v>103</v>
      </c>
      <c r="E123" s="5" t="s">
        <v>55</v>
      </c>
      <c r="F123" s="5" t="s">
        <v>17</v>
      </c>
      <c r="G123" s="5" t="s">
        <v>10</v>
      </c>
      <c r="H123" s="5">
        <v>2</v>
      </c>
      <c r="I123" s="5">
        <v>59.99</v>
      </c>
      <c r="J123" s="5" t="s">
        <v>51</v>
      </c>
      <c r="K123" s="5" t="s">
        <v>3</v>
      </c>
      <c r="L123" s="5" t="s">
        <v>28</v>
      </c>
      <c r="M123" s="6">
        <v>44579</v>
      </c>
      <c r="N123" s="5">
        <v>119.98</v>
      </c>
      <c r="S123" t="str">
        <v>TRX0056</v>
      </c>
      <c r="T123">
        <v>45660</v>
      </c>
      <c r="U123" t="str">
        <v>CUST019</v>
      </c>
      <c r="V123" t="str">
        <v>Daniel King</v>
      </c>
      <c r="W123" t="str">
        <v>P010</v>
      </c>
      <c r="X123" t="str">
        <v>Keyboard</v>
      </c>
      <c r="Y123" t="str">
        <v>Electronics</v>
      </c>
      <c r="Z123">
        <v>2</v>
      </c>
      <c r="AA123">
        <v>89.99</v>
      </c>
      <c r="AB123" t="str">
        <v>Credit Card</v>
      </c>
      <c r="AC123" t="str">
        <v>South</v>
      </c>
      <c r="AD123" t="str">
        <v>Premium</v>
      </c>
      <c r="AE123">
        <v>44564</v>
      </c>
      <c r="AF123">
        <v>179.98</v>
      </c>
    </row>
    <row r="124" spans="1:32" ht="15.75" customHeight="1">
      <c r="A124" s="5" t="s">
        <v>273</v>
      </c>
      <c r="B124" s="6">
        <v>45572</v>
      </c>
      <c r="C124" s="5" t="s">
        <v>244</v>
      </c>
      <c r="D124" s="5" t="s">
        <v>245</v>
      </c>
      <c r="E124" s="5" t="s">
        <v>68</v>
      </c>
      <c r="F124" s="5" t="s">
        <v>21</v>
      </c>
      <c r="G124" s="5" t="s">
        <v>11</v>
      </c>
      <c r="H124" s="5">
        <v>4</v>
      </c>
      <c r="I124" s="5">
        <v>149.99</v>
      </c>
      <c r="J124" s="5" t="s">
        <v>51</v>
      </c>
      <c r="K124" s="5" t="s">
        <v>5</v>
      </c>
      <c r="L124" s="5" t="s">
        <v>29</v>
      </c>
      <c r="M124" s="6">
        <v>45076</v>
      </c>
      <c r="N124" s="5">
        <v>599.96</v>
      </c>
      <c r="S124" t="str">
        <v>TRX0026</v>
      </c>
      <c r="T124">
        <v>45661</v>
      </c>
      <c r="U124" t="str">
        <v>CUST037</v>
      </c>
      <c r="V124" t="str">
        <v>Arthur Edwards</v>
      </c>
      <c r="W124" t="str">
        <v>P001</v>
      </c>
      <c r="X124" t="str">
        <v>Laptop</v>
      </c>
      <c r="Y124" t="str">
        <v>Electronics</v>
      </c>
      <c r="Z124">
        <v>1</v>
      </c>
      <c r="AA124">
        <v>899.99</v>
      </c>
      <c r="AB124" t="str">
        <v>PayPal</v>
      </c>
      <c r="AC124" t="str">
        <v>North</v>
      </c>
      <c r="AD124" t="str">
        <v>Standard</v>
      </c>
      <c r="AE124">
        <v>44752</v>
      </c>
      <c r="AF124">
        <v>899.99</v>
      </c>
    </row>
    <row r="125" spans="1:32" ht="15.75" customHeight="1">
      <c r="A125" s="5" t="s">
        <v>274</v>
      </c>
      <c r="B125" s="6">
        <v>45573</v>
      </c>
      <c r="C125" s="5" t="s">
        <v>221</v>
      </c>
      <c r="D125" s="5" t="s">
        <v>222</v>
      </c>
      <c r="E125" s="5" t="s">
        <v>94</v>
      </c>
      <c r="F125" s="5" t="s">
        <v>26</v>
      </c>
      <c r="G125" s="5" t="s">
        <v>11</v>
      </c>
      <c r="H125" s="5">
        <v>2</v>
      </c>
      <c r="I125" s="5">
        <v>699.99</v>
      </c>
      <c r="J125" s="5" t="s">
        <v>72</v>
      </c>
      <c r="K125" s="5" t="s">
        <v>4</v>
      </c>
      <c r="L125" s="5" t="s">
        <v>29</v>
      </c>
      <c r="M125" s="6">
        <v>45274</v>
      </c>
      <c r="N125" s="5">
        <v>1399.98</v>
      </c>
      <c r="S125" t="str">
        <v>TRX0237</v>
      </c>
      <c r="T125">
        <v>45663</v>
      </c>
      <c r="U125" t="str">
        <v>CUST006</v>
      </c>
      <c r="V125" t="str">
        <v>Lisa Anderson</v>
      </c>
      <c r="W125" t="str">
        <v>P003</v>
      </c>
      <c r="X125" t="str">
        <v>Headphones</v>
      </c>
      <c r="Y125" t="str">
        <v>Electronics</v>
      </c>
      <c r="Z125">
        <v>5</v>
      </c>
      <c r="AA125">
        <v>149.99</v>
      </c>
      <c r="AB125" t="str">
        <v>PayPal</v>
      </c>
      <c r="AC125" t="str">
        <v>East</v>
      </c>
      <c r="AD125" t="str">
        <v>Premium</v>
      </c>
      <c r="AE125">
        <v>44824</v>
      </c>
      <c r="AF125">
        <v>749.95</v>
      </c>
    </row>
    <row r="126" spans="1:32" ht="15.75" customHeight="1">
      <c r="A126" s="5" t="s">
        <v>275</v>
      </c>
      <c r="B126" s="6">
        <v>45573</v>
      </c>
      <c r="C126" s="5" t="s">
        <v>241</v>
      </c>
      <c r="D126" s="5" t="s">
        <v>242</v>
      </c>
      <c r="E126" s="5" t="s">
        <v>63</v>
      </c>
      <c r="F126" s="5" t="s">
        <v>18</v>
      </c>
      <c r="G126" s="5" t="s">
        <v>12</v>
      </c>
      <c r="H126" s="5">
        <v>3</v>
      </c>
      <c r="I126" s="5">
        <v>149.99</v>
      </c>
      <c r="J126" s="5" t="s">
        <v>51</v>
      </c>
      <c r="K126" s="5" t="s">
        <v>6</v>
      </c>
      <c r="L126" s="5" t="s">
        <v>30</v>
      </c>
      <c r="M126" s="6">
        <v>44940</v>
      </c>
      <c r="N126" s="5">
        <v>449.97</v>
      </c>
      <c r="S126" t="str">
        <v>TRX0125</v>
      </c>
      <c r="T126">
        <v>45666</v>
      </c>
      <c r="U126" t="str">
        <v>CUST026</v>
      </c>
      <c r="V126" t="str">
        <v>Karen Hill</v>
      </c>
      <c r="W126" t="str">
        <v>P002</v>
      </c>
      <c r="X126" t="str">
        <v>Smartphone</v>
      </c>
      <c r="Y126" t="str">
        <v>Electronics</v>
      </c>
      <c r="Z126">
        <v>3</v>
      </c>
      <c r="AA126">
        <v>699.99</v>
      </c>
      <c r="AB126" t="str">
        <v>Credit Card</v>
      </c>
      <c r="AC126" t="str">
        <v>Central</v>
      </c>
      <c r="AD126" t="str">
        <v>Premium</v>
      </c>
      <c r="AE126">
        <v>45105</v>
      </c>
      <c r="AF126">
        <v>2099.9699999999998</v>
      </c>
    </row>
    <row r="127" spans="1:32" ht="15.75" customHeight="1">
      <c r="A127" s="5" t="s">
        <v>276</v>
      </c>
      <c r="B127" s="6">
        <v>45576</v>
      </c>
      <c r="C127" s="5" t="s">
        <v>157</v>
      </c>
      <c r="D127" s="5" t="s">
        <v>158</v>
      </c>
      <c r="E127" s="5" t="s">
        <v>118</v>
      </c>
      <c r="F127" s="5" t="s">
        <v>20</v>
      </c>
      <c r="G127" s="5" t="s">
        <v>12</v>
      </c>
      <c r="H127" s="5">
        <v>3</v>
      </c>
      <c r="I127" s="5">
        <v>299.99</v>
      </c>
      <c r="J127" s="5" t="s">
        <v>51</v>
      </c>
      <c r="K127" s="5" t="s">
        <v>3</v>
      </c>
      <c r="L127" s="5" t="s">
        <v>30</v>
      </c>
      <c r="M127" s="6">
        <v>45174</v>
      </c>
      <c r="N127" s="5">
        <v>899.97</v>
      </c>
      <c r="S127" t="str">
        <v>TRX0243</v>
      </c>
      <c r="T127">
        <v>45667</v>
      </c>
      <c r="U127" t="str">
        <v>CUST048</v>
      </c>
      <c r="V127" t="str">
        <v>Virginia Sanders</v>
      </c>
      <c r="W127" t="str">
        <v>P009</v>
      </c>
      <c r="X127" t="str">
        <v>Monitor</v>
      </c>
      <c r="Y127" t="str">
        <v>Electronics</v>
      </c>
      <c r="Z127">
        <v>5</v>
      </c>
      <c r="AA127">
        <v>249.99</v>
      </c>
      <c r="AB127" t="str">
        <v>Credit Card</v>
      </c>
      <c r="AC127" t="str">
        <v>South</v>
      </c>
      <c r="AD127" t="str">
        <v>Basic</v>
      </c>
      <c r="AE127">
        <v>45330</v>
      </c>
      <c r="AF127">
        <v>1249.95</v>
      </c>
    </row>
    <row r="128" spans="1:32" ht="15.75" customHeight="1">
      <c r="A128" s="5" t="s">
        <v>277</v>
      </c>
      <c r="B128" s="6">
        <v>45579</v>
      </c>
      <c r="C128" s="5" t="s">
        <v>96</v>
      </c>
      <c r="D128" s="5" t="s">
        <v>97</v>
      </c>
      <c r="E128" s="5" t="s">
        <v>76</v>
      </c>
      <c r="F128" s="5" t="s">
        <v>23</v>
      </c>
      <c r="G128" s="5" t="s">
        <v>11</v>
      </c>
      <c r="H128" s="5">
        <v>3</v>
      </c>
      <c r="I128" s="5">
        <v>899.99</v>
      </c>
      <c r="J128" s="5" t="s">
        <v>56</v>
      </c>
      <c r="K128" s="5" t="s">
        <v>7</v>
      </c>
      <c r="L128" s="5" t="s">
        <v>28</v>
      </c>
      <c r="M128" s="6">
        <v>45215</v>
      </c>
      <c r="N128" s="5">
        <v>2699.97</v>
      </c>
      <c r="S128" t="str">
        <v>TRX0084</v>
      </c>
      <c r="T128">
        <v>45668</v>
      </c>
      <c r="U128" t="str">
        <v>CUST031</v>
      </c>
      <c r="V128" t="str">
        <v>Steven Turner</v>
      </c>
      <c r="W128" t="str">
        <v>P003</v>
      </c>
      <c r="X128" t="str">
        <v>Headphones</v>
      </c>
      <c r="Y128" t="str">
        <v>Electronics</v>
      </c>
      <c r="Z128">
        <v>4</v>
      </c>
      <c r="AA128">
        <v>149.99</v>
      </c>
      <c r="AB128" t="str">
        <v>Debit Card</v>
      </c>
      <c r="AC128" t="str">
        <v>East</v>
      </c>
      <c r="AD128" t="str">
        <v>Standard</v>
      </c>
      <c r="AE128">
        <v>44536</v>
      </c>
      <c r="AF128">
        <v>599.96</v>
      </c>
    </row>
    <row r="129" spans="1:32" ht="15.75" customHeight="1">
      <c r="A129" s="5" t="s">
        <v>278</v>
      </c>
      <c r="B129" s="6">
        <v>45581</v>
      </c>
      <c r="C129" s="5" t="s">
        <v>109</v>
      </c>
      <c r="D129" s="5" t="s">
        <v>110</v>
      </c>
      <c r="E129" s="5" t="s">
        <v>94</v>
      </c>
      <c r="F129" s="5" t="s">
        <v>26</v>
      </c>
      <c r="G129" s="5" t="s">
        <v>11</v>
      </c>
      <c r="H129" s="5">
        <v>5</v>
      </c>
      <c r="I129" s="5">
        <v>699.99</v>
      </c>
      <c r="J129" s="5" t="s">
        <v>47</v>
      </c>
      <c r="K129" s="5" t="s">
        <v>4</v>
      </c>
      <c r="L129" s="5" t="s">
        <v>30</v>
      </c>
      <c r="M129" s="6">
        <v>45008</v>
      </c>
      <c r="N129" s="5">
        <v>3499.95</v>
      </c>
      <c r="S129" t="str">
        <v>TRX0238</v>
      </c>
      <c r="T129">
        <v>45668</v>
      </c>
      <c r="U129" t="str">
        <v>CUST038</v>
      </c>
      <c r="V129" t="str">
        <v>Michelle Rogers</v>
      </c>
      <c r="W129" t="str">
        <v>P002</v>
      </c>
      <c r="X129" t="str">
        <v>Smartphone</v>
      </c>
      <c r="Y129" t="str">
        <v>Electronics</v>
      </c>
      <c r="Z129">
        <v>3</v>
      </c>
      <c r="AA129">
        <v>699.99</v>
      </c>
      <c r="AB129" t="str">
        <v>Cash</v>
      </c>
      <c r="AC129" t="str">
        <v>North</v>
      </c>
      <c r="AD129" t="str">
        <v>Premium</v>
      </c>
      <c r="AE129">
        <v>44602</v>
      </c>
      <c r="AF129">
        <v>2099.9699999999998</v>
      </c>
    </row>
    <row r="130" spans="1:32" ht="15.75" customHeight="1">
      <c r="A130" s="5" t="s">
        <v>279</v>
      </c>
      <c r="B130" s="6">
        <v>45581</v>
      </c>
      <c r="C130" s="5" t="s">
        <v>181</v>
      </c>
      <c r="D130" s="5" t="s">
        <v>182</v>
      </c>
      <c r="E130" s="5" t="s">
        <v>94</v>
      </c>
      <c r="F130" s="5" t="s">
        <v>26</v>
      </c>
      <c r="G130" s="5" t="s">
        <v>11</v>
      </c>
      <c r="H130" s="5">
        <v>4</v>
      </c>
      <c r="I130" s="5">
        <v>699.99</v>
      </c>
      <c r="J130" s="5" t="s">
        <v>51</v>
      </c>
      <c r="K130" s="5" t="s">
        <v>3</v>
      </c>
      <c r="L130" s="5" t="s">
        <v>28</v>
      </c>
      <c r="M130" s="6">
        <v>45385</v>
      </c>
      <c r="N130" s="5">
        <v>2799.96</v>
      </c>
      <c r="S130" t="str">
        <v>TRX0087</v>
      </c>
      <c r="T130">
        <v>45671</v>
      </c>
      <c r="U130" t="str">
        <v>CUST028</v>
      </c>
      <c r="V130" t="str">
        <v>Betty Campbell</v>
      </c>
      <c r="W130" t="str">
        <v>P009</v>
      </c>
      <c r="X130" t="str">
        <v>Monitor</v>
      </c>
      <c r="Y130" t="str">
        <v>Electronics</v>
      </c>
      <c r="Z130">
        <v>4</v>
      </c>
      <c r="AA130">
        <v>249.99</v>
      </c>
      <c r="AB130" t="str">
        <v>Credit Card</v>
      </c>
      <c r="AC130" t="str">
        <v>North</v>
      </c>
      <c r="AD130" t="str">
        <v>Premium</v>
      </c>
      <c r="AE130">
        <v>44460</v>
      </c>
      <c r="AF130">
        <v>999.96</v>
      </c>
    </row>
    <row r="131" spans="1:32" ht="15.75" customHeight="1">
      <c r="A131" s="5" t="s">
        <v>280</v>
      </c>
      <c r="B131" s="6">
        <v>45581</v>
      </c>
      <c r="C131" s="5" t="s">
        <v>160</v>
      </c>
      <c r="D131" s="5" t="s">
        <v>161</v>
      </c>
      <c r="E131" s="5" t="s">
        <v>76</v>
      </c>
      <c r="F131" s="5" t="s">
        <v>23</v>
      </c>
      <c r="G131" s="5" t="s">
        <v>11</v>
      </c>
      <c r="H131" s="5">
        <v>1</v>
      </c>
      <c r="I131" s="5">
        <v>899.99</v>
      </c>
      <c r="J131" s="5" t="s">
        <v>51</v>
      </c>
      <c r="K131" s="5" t="s">
        <v>4</v>
      </c>
      <c r="L131" s="5" t="s">
        <v>30</v>
      </c>
      <c r="M131" s="6">
        <v>45369</v>
      </c>
      <c r="N131" s="5">
        <v>899.99</v>
      </c>
      <c r="S131" t="str">
        <v>TRX0107</v>
      </c>
      <c r="T131">
        <v>45671</v>
      </c>
      <c r="U131" t="str">
        <v>CUST030</v>
      </c>
      <c r="V131" t="str">
        <v>Helen Roberts</v>
      </c>
      <c r="W131" t="str">
        <v>P003</v>
      </c>
      <c r="X131" t="str">
        <v>Headphones</v>
      </c>
      <c r="Y131" t="str">
        <v>Electronics</v>
      </c>
      <c r="Z131">
        <v>2</v>
      </c>
      <c r="AA131">
        <v>149.99</v>
      </c>
      <c r="AB131" t="str">
        <v>Cash</v>
      </c>
      <c r="AC131" t="str">
        <v>North</v>
      </c>
      <c r="AD131" t="str">
        <v>Standard</v>
      </c>
      <c r="AE131">
        <v>44913</v>
      </c>
      <c r="AF131">
        <v>299.98</v>
      </c>
    </row>
    <row r="132" spans="1:32" ht="15.75" customHeight="1">
      <c r="A132" s="5" t="s">
        <v>281</v>
      </c>
      <c r="B132" s="6">
        <v>45583</v>
      </c>
      <c r="C132" s="5" t="s">
        <v>236</v>
      </c>
      <c r="D132" s="5" t="s">
        <v>237</v>
      </c>
      <c r="E132" s="5" t="s">
        <v>68</v>
      </c>
      <c r="F132" s="5" t="s">
        <v>21</v>
      </c>
      <c r="G132" s="5" t="s">
        <v>11</v>
      </c>
      <c r="H132" s="5">
        <v>2</v>
      </c>
      <c r="I132" s="5">
        <v>149.99</v>
      </c>
      <c r="J132" s="5" t="s">
        <v>51</v>
      </c>
      <c r="K132" s="5" t="s">
        <v>7</v>
      </c>
      <c r="L132" s="5" t="s">
        <v>28</v>
      </c>
      <c r="M132" s="6">
        <v>44916</v>
      </c>
      <c r="N132" s="5">
        <v>299.98</v>
      </c>
      <c r="S132" t="str">
        <v>TRX0159</v>
      </c>
      <c r="T132">
        <v>45683</v>
      </c>
      <c r="U132" t="str">
        <v>CUST024</v>
      </c>
      <c r="V132" t="str">
        <v>Dorothy Nelson</v>
      </c>
      <c r="W132" t="str">
        <v>P009</v>
      </c>
      <c r="X132" t="str">
        <v>Monitor</v>
      </c>
      <c r="Y132" t="str">
        <v>Electronics</v>
      </c>
      <c r="Z132">
        <v>4</v>
      </c>
      <c r="AA132">
        <v>249.99</v>
      </c>
      <c r="AB132" t="str">
        <v>Debit Card</v>
      </c>
      <c r="AC132" t="str">
        <v>Central</v>
      </c>
      <c r="AD132" t="str">
        <v>Premium</v>
      </c>
      <c r="AE132">
        <v>45217</v>
      </c>
      <c r="AF132">
        <v>999.96</v>
      </c>
    </row>
    <row r="133" spans="1:32" ht="15.75" customHeight="1">
      <c r="A133" s="5" t="s">
        <v>282</v>
      </c>
      <c r="B133" s="6">
        <v>45586</v>
      </c>
      <c r="C133" s="5" t="s">
        <v>236</v>
      </c>
      <c r="D133" s="5" t="s">
        <v>237</v>
      </c>
      <c r="E133" s="5" t="s">
        <v>129</v>
      </c>
      <c r="F133" s="5" t="s">
        <v>22</v>
      </c>
      <c r="G133" s="5" t="s">
        <v>11</v>
      </c>
      <c r="H133" s="5">
        <v>3</v>
      </c>
      <c r="I133" s="5">
        <v>89.99</v>
      </c>
      <c r="J133" s="5" t="s">
        <v>56</v>
      </c>
      <c r="K133" s="5" t="s">
        <v>3</v>
      </c>
      <c r="L133" s="5" t="s">
        <v>28</v>
      </c>
      <c r="M133" s="6">
        <v>44551</v>
      </c>
      <c r="N133" s="5">
        <v>269.97000000000003</v>
      </c>
      <c r="S133" t="str">
        <v>TRX0030</v>
      </c>
      <c r="T133">
        <v>45686</v>
      </c>
      <c r="U133" t="str">
        <v>CUST011</v>
      </c>
      <c r="V133" t="str">
        <v>William White</v>
      </c>
      <c r="W133" t="str">
        <v>P001</v>
      </c>
      <c r="X133" t="str">
        <v>Laptop</v>
      </c>
      <c r="Y133" t="str">
        <v>Electronics</v>
      </c>
      <c r="Z133">
        <v>4</v>
      </c>
      <c r="AA133">
        <v>899.99</v>
      </c>
      <c r="AB133" t="str">
        <v>PayPal</v>
      </c>
      <c r="AC133" t="str">
        <v>Central</v>
      </c>
      <c r="AD133" t="str">
        <v>Basic</v>
      </c>
      <c r="AE133">
        <v>44734</v>
      </c>
      <c r="AF133">
        <v>3599.96</v>
      </c>
    </row>
    <row r="134" spans="1:32" ht="15.75" customHeight="1">
      <c r="A134" s="5" t="s">
        <v>283</v>
      </c>
      <c r="B134" s="6">
        <v>45588</v>
      </c>
      <c r="C134" s="5" t="s">
        <v>58</v>
      </c>
      <c r="D134" s="5" t="s">
        <v>59</v>
      </c>
      <c r="E134" s="5" t="s">
        <v>68</v>
      </c>
      <c r="F134" s="5" t="s">
        <v>21</v>
      </c>
      <c r="G134" s="5" t="s">
        <v>11</v>
      </c>
      <c r="H134" s="5">
        <v>2</v>
      </c>
      <c r="I134" s="5">
        <v>149.99</v>
      </c>
      <c r="J134" s="5" t="s">
        <v>56</v>
      </c>
      <c r="K134" s="5" t="s">
        <v>3</v>
      </c>
      <c r="L134" s="5" t="s">
        <v>28</v>
      </c>
      <c r="M134" s="6">
        <v>44473</v>
      </c>
      <c r="N134" s="5">
        <v>299.98</v>
      </c>
      <c r="S134" t="str">
        <v>TRX0188</v>
      </c>
      <c r="T134">
        <v>45686</v>
      </c>
      <c r="U134" t="str">
        <v>CUST045</v>
      </c>
      <c r="V134" t="str">
        <v>Douglas Watson</v>
      </c>
      <c r="W134" t="str">
        <v>P002</v>
      </c>
      <c r="X134" t="str">
        <v>Smartphone</v>
      </c>
      <c r="Y134" t="str">
        <v>Electronics</v>
      </c>
      <c r="Z134">
        <v>2</v>
      </c>
      <c r="AA134">
        <v>699.99</v>
      </c>
      <c r="AB134" t="str">
        <v>Debit Card</v>
      </c>
      <c r="AC134" t="str">
        <v>Central</v>
      </c>
      <c r="AD134" t="str">
        <v>Premium</v>
      </c>
      <c r="AE134">
        <v>44681</v>
      </c>
      <c r="AF134">
        <v>1399.98</v>
      </c>
    </row>
    <row r="135" spans="1:32" ht="15.75" customHeight="1">
      <c r="A135" s="5" t="s">
        <v>284</v>
      </c>
      <c r="B135" s="6">
        <v>45588</v>
      </c>
      <c r="C135" s="5" t="s">
        <v>164</v>
      </c>
      <c r="D135" s="5" t="s">
        <v>165</v>
      </c>
      <c r="E135" s="5" t="s">
        <v>94</v>
      </c>
      <c r="F135" s="5" t="s">
        <v>26</v>
      </c>
      <c r="G135" s="5" t="s">
        <v>11</v>
      </c>
      <c r="H135" s="5">
        <v>2</v>
      </c>
      <c r="I135" s="5">
        <v>699.99</v>
      </c>
      <c r="J135" s="5" t="s">
        <v>47</v>
      </c>
      <c r="K135" s="5" t="s">
        <v>3</v>
      </c>
      <c r="L135" s="5" t="s">
        <v>28</v>
      </c>
      <c r="M135" s="6">
        <v>44992</v>
      </c>
      <c r="N135" s="5">
        <v>1399.98</v>
      </c>
      <c r="S135" t="str">
        <v>TRX0010</v>
      </c>
      <c r="T135">
        <v>45688</v>
      </c>
      <c r="U135" t="str">
        <v>CUST026</v>
      </c>
      <c r="V135" t="str">
        <v>Karen Hill</v>
      </c>
      <c r="W135" t="str">
        <v>P002</v>
      </c>
      <c r="X135" t="str">
        <v>Smartphone</v>
      </c>
      <c r="Y135" t="str">
        <v>Electronics</v>
      </c>
      <c r="Z135">
        <v>4</v>
      </c>
      <c r="AA135">
        <v>699.99</v>
      </c>
      <c r="AB135" t="str">
        <v>Debit Card</v>
      </c>
      <c r="AC135" t="str">
        <v>West</v>
      </c>
      <c r="AD135" t="str">
        <v>Premium</v>
      </c>
      <c r="AE135">
        <v>44692</v>
      </c>
      <c r="AF135">
        <v>2799.96</v>
      </c>
    </row>
    <row r="136" spans="1:32" ht="15.75" customHeight="1">
      <c r="A136" s="5" t="s">
        <v>285</v>
      </c>
      <c r="B136" s="6">
        <v>45589</v>
      </c>
      <c r="C136" s="5" t="s">
        <v>168</v>
      </c>
      <c r="D136" s="5" t="s">
        <v>169</v>
      </c>
      <c r="E136" s="5" t="s">
        <v>94</v>
      </c>
      <c r="F136" s="5" t="s">
        <v>26</v>
      </c>
      <c r="G136" s="5" t="s">
        <v>11</v>
      </c>
      <c r="H136" s="5">
        <v>5</v>
      </c>
      <c r="I136" s="5">
        <v>699.99</v>
      </c>
      <c r="J136" s="5" t="s">
        <v>47</v>
      </c>
      <c r="K136" s="5" t="s">
        <v>5</v>
      </c>
      <c r="L136" s="5" t="s">
        <v>29</v>
      </c>
      <c r="M136" s="6">
        <v>44635</v>
      </c>
      <c r="N136" s="5">
        <v>3499.95</v>
      </c>
      <c r="S136" t="str">
        <v>TRX0069</v>
      </c>
      <c r="T136">
        <v>45688</v>
      </c>
      <c r="U136" t="str">
        <v>CUST029</v>
      </c>
      <c r="V136" t="str">
        <v>Edward Mitchell</v>
      </c>
      <c r="W136" t="str">
        <v>P010</v>
      </c>
      <c r="X136" t="str">
        <v>Keyboard</v>
      </c>
      <c r="Y136" t="str">
        <v>Electronics</v>
      </c>
      <c r="Z136">
        <v>2</v>
      </c>
      <c r="AA136">
        <v>89.99</v>
      </c>
      <c r="AB136" t="str">
        <v>Debit Card</v>
      </c>
      <c r="AC136" t="str">
        <v>South</v>
      </c>
      <c r="AD136" t="str">
        <v>Basic</v>
      </c>
      <c r="AE136">
        <v>44777</v>
      </c>
      <c r="AF136">
        <v>179.98</v>
      </c>
    </row>
    <row r="137" spans="1:32" ht="15.75" customHeight="1">
      <c r="A137" s="5" t="s">
        <v>286</v>
      </c>
      <c r="B137" s="6">
        <v>45592</v>
      </c>
      <c r="C137" s="5" t="s">
        <v>181</v>
      </c>
      <c r="D137" s="5" t="s">
        <v>182</v>
      </c>
      <c r="E137" s="5" t="s">
        <v>129</v>
      </c>
      <c r="F137" s="5" t="s">
        <v>22</v>
      </c>
      <c r="G137" s="5" t="s">
        <v>11</v>
      </c>
      <c r="H137" s="5">
        <v>3</v>
      </c>
      <c r="I137" s="5">
        <v>89.99</v>
      </c>
      <c r="J137" s="5" t="s">
        <v>51</v>
      </c>
      <c r="K137" s="5" t="s">
        <v>5</v>
      </c>
      <c r="L137" s="5" t="s">
        <v>30</v>
      </c>
      <c r="M137" s="6">
        <v>44615</v>
      </c>
      <c r="N137" s="5">
        <v>269.97000000000003</v>
      </c>
      <c r="S137" t="str">
        <v>TRX0166</v>
      </c>
      <c r="T137">
        <v>45688</v>
      </c>
      <c r="U137" t="str">
        <v>CUST003</v>
      </c>
      <c r="V137" t="str">
        <v>Michael Brown</v>
      </c>
      <c r="W137" t="str">
        <v>P010</v>
      </c>
      <c r="X137" t="str">
        <v>Keyboard</v>
      </c>
      <c r="Y137" t="str">
        <v>Electronics</v>
      </c>
      <c r="Z137">
        <v>3</v>
      </c>
      <c r="AA137">
        <v>89.99</v>
      </c>
      <c r="AB137" t="str">
        <v>Debit Card</v>
      </c>
      <c r="AC137" t="str">
        <v>South</v>
      </c>
      <c r="AD137" t="str">
        <v>Premium</v>
      </c>
      <c r="AE137">
        <v>45307</v>
      </c>
      <c r="AF137">
        <v>269.97000000000003</v>
      </c>
    </row>
    <row r="138" spans="1:32" ht="15.75" customHeight="1">
      <c r="A138" s="5" t="s">
        <v>287</v>
      </c>
      <c r="B138" s="6">
        <v>45597</v>
      </c>
      <c r="C138" s="5" t="s">
        <v>44</v>
      </c>
      <c r="D138" s="5" t="s">
        <v>45</v>
      </c>
      <c r="E138" s="5" t="s">
        <v>46</v>
      </c>
      <c r="F138" s="5" t="s">
        <v>24</v>
      </c>
      <c r="G138" s="5" t="s">
        <v>11</v>
      </c>
      <c r="H138" s="5">
        <v>5</v>
      </c>
      <c r="I138" s="5">
        <v>249.99</v>
      </c>
      <c r="J138" s="5" t="s">
        <v>51</v>
      </c>
      <c r="K138" s="5" t="s">
        <v>6</v>
      </c>
      <c r="L138" s="5" t="s">
        <v>30</v>
      </c>
      <c r="M138" s="6">
        <v>44881</v>
      </c>
      <c r="N138" s="5">
        <v>1249.95</v>
      </c>
      <c r="S138" t="str">
        <v>TRX0196</v>
      </c>
      <c r="T138">
        <v>45704</v>
      </c>
      <c r="U138" t="str">
        <v>CUST023</v>
      </c>
      <c r="V138" t="str">
        <v>Paul Baker</v>
      </c>
      <c r="W138" t="str">
        <v>P010</v>
      </c>
      <c r="X138" t="str">
        <v>Keyboard</v>
      </c>
      <c r="Y138" t="str">
        <v>Electronics</v>
      </c>
      <c r="Z138">
        <v>2</v>
      </c>
      <c r="AA138">
        <v>89.99</v>
      </c>
      <c r="AB138" t="str">
        <v>PayPal</v>
      </c>
      <c r="AC138" t="str">
        <v>Central</v>
      </c>
      <c r="AD138" t="str">
        <v>Basic</v>
      </c>
      <c r="AE138">
        <v>45257</v>
      </c>
      <c r="AF138">
        <v>179.98</v>
      </c>
    </row>
    <row r="139" spans="1:32" ht="15.75" customHeight="1">
      <c r="A139" s="5" t="s">
        <v>288</v>
      </c>
      <c r="B139" s="6">
        <v>45600</v>
      </c>
      <c r="C139" s="5" t="s">
        <v>78</v>
      </c>
      <c r="D139" s="5" t="s">
        <v>79</v>
      </c>
      <c r="E139" s="5" t="s">
        <v>118</v>
      </c>
      <c r="F139" s="5" t="s">
        <v>20</v>
      </c>
      <c r="G139" s="5" t="s">
        <v>12</v>
      </c>
      <c r="H139" s="5">
        <v>3</v>
      </c>
      <c r="I139" s="5">
        <v>299.99</v>
      </c>
      <c r="J139" s="5" t="s">
        <v>51</v>
      </c>
      <c r="K139" s="5" t="s">
        <v>6</v>
      </c>
      <c r="L139" s="5" t="s">
        <v>30</v>
      </c>
      <c r="M139" s="6">
        <v>44502</v>
      </c>
      <c r="N139" s="5">
        <v>899.97</v>
      </c>
      <c r="S139" t="str">
        <v>TRX0179</v>
      </c>
      <c r="T139">
        <v>45707</v>
      </c>
      <c r="U139" t="str">
        <v>CUST029</v>
      </c>
      <c r="V139" t="str">
        <v>Edward Mitchell</v>
      </c>
      <c r="W139" t="str">
        <v>P002</v>
      </c>
      <c r="X139" t="str">
        <v>Smartphone</v>
      </c>
      <c r="Y139" t="str">
        <v>Electronics</v>
      </c>
      <c r="Z139">
        <v>5</v>
      </c>
      <c r="AA139">
        <v>699.99</v>
      </c>
      <c r="AB139" t="str">
        <v>PayPal</v>
      </c>
      <c r="AC139" t="str">
        <v>South</v>
      </c>
      <c r="AD139" t="str">
        <v>Premium</v>
      </c>
      <c r="AE139">
        <v>45352</v>
      </c>
      <c r="AF139">
        <v>3499.95</v>
      </c>
    </row>
    <row r="140" spans="1:32" ht="15.75" customHeight="1">
      <c r="A140" s="5" t="s">
        <v>289</v>
      </c>
      <c r="B140" s="6">
        <v>45603</v>
      </c>
      <c r="C140" s="5" t="s">
        <v>112</v>
      </c>
      <c r="D140" s="5" t="s">
        <v>113</v>
      </c>
      <c r="E140" s="5" t="s">
        <v>129</v>
      </c>
      <c r="F140" s="5" t="s">
        <v>22</v>
      </c>
      <c r="G140" s="5" t="s">
        <v>11</v>
      </c>
      <c r="H140" s="5">
        <v>3</v>
      </c>
      <c r="I140" s="5">
        <v>89.99</v>
      </c>
      <c r="J140" s="5" t="s">
        <v>51</v>
      </c>
      <c r="K140" s="5" t="s">
        <v>5</v>
      </c>
      <c r="L140" s="5" t="s">
        <v>29</v>
      </c>
      <c r="M140" s="6">
        <v>44420</v>
      </c>
      <c r="N140" s="5">
        <v>269.97000000000003</v>
      </c>
      <c r="S140" t="str">
        <v>TRX0214</v>
      </c>
      <c r="T140">
        <v>45708</v>
      </c>
      <c r="U140" t="str">
        <v>CUST018</v>
      </c>
      <c r="V140" t="str">
        <v>Barbara Young</v>
      </c>
      <c r="W140" t="str">
        <v>P001</v>
      </c>
      <c r="X140" t="str">
        <v>Laptop</v>
      </c>
      <c r="Y140" t="str">
        <v>Electronics</v>
      </c>
      <c r="Z140">
        <v>3</v>
      </c>
      <c r="AA140">
        <v>899.99</v>
      </c>
      <c r="AB140" t="str">
        <v>Cash</v>
      </c>
      <c r="AC140" t="str">
        <v>East</v>
      </c>
      <c r="AD140" t="str">
        <v>Standard</v>
      </c>
      <c r="AE140">
        <v>44613</v>
      </c>
      <c r="AF140">
        <v>2699.97</v>
      </c>
    </row>
    <row r="141" spans="1:32" ht="15.75" customHeight="1">
      <c r="A141" s="5" t="s">
        <v>290</v>
      </c>
      <c r="B141" s="6">
        <v>45604</v>
      </c>
      <c r="C141" s="5" t="s">
        <v>102</v>
      </c>
      <c r="D141" s="5" t="s">
        <v>103</v>
      </c>
      <c r="E141" s="5" t="s">
        <v>63</v>
      </c>
      <c r="F141" s="5" t="s">
        <v>18</v>
      </c>
      <c r="G141" s="5" t="s">
        <v>12</v>
      </c>
      <c r="H141" s="5">
        <v>2</v>
      </c>
      <c r="I141" s="5">
        <v>149.99</v>
      </c>
      <c r="J141" s="5" t="s">
        <v>51</v>
      </c>
      <c r="K141" s="5" t="s">
        <v>7</v>
      </c>
      <c r="L141" s="5" t="s">
        <v>29</v>
      </c>
      <c r="M141" s="6">
        <v>44848</v>
      </c>
      <c r="N141" s="5">
        <v>299.98</v>
      </c>
      <c r="S141" t="str">
        <v>TRX0151</v>
      </c>
      <c r="T141">
        <v>45710</v>
      </c>
      <c r="U141" t="str">
        <v>CUST040</v>
      </c>
      <c r="V141" t="str">
        <v>Sharon Butler</v>
      </c>
      <c r="W141" t="str">
        <v>P002</v>
      </c>
      <c r="X141" t="str">
        <v>Smartphone</v>
      </c>
      <c r="Y141" t="str">
        <v>Electronics</v>
      </c>
      <c r="Z141">
        <v>1</v>
      </c>
      <c r="AA141">
        <v>699.99</v>
      </c>
      <c r="AB141" t="str">
        <v>PayPal</v>
      </c>
      <c r="AC141" t="str">
        <v>West</v>
      </c>
      <c r="AD141" t="str">
        <v>Basic</v>
      </c>
      <c r="AE141">
        <v>44934</v>
      </c>
      <c r="AF141">
        <v>699.99</v>
      </c>
    </row>
    <row r="142" spans="1:32" ht="15.75" customHeight="1">
      <c r="A142" s="5" t="s">
        <v>291</v>
      </c>
      <c r="B142" s="6">
        <v>45605</v>
      </c>
      <c r="C142" s="5" t="s">
        <v>195</v>
      </c>
      <c r="D142" s="5" t="s">
        <v>196</v>
      </c>
      <c r="E142" s="5" t="s">
        <v>46</v>
      </c>
      <c r="F142" s="5" t="s">
        <v>24</v>
      </c>
      <c r="G142" s="5" t="s">
        <v>11</v>
      </c>
      <c r="H142" s="5">
        <v>1</v>
      </c>
      <c r="I142" s="5">
        <v>249.99</v>
      </c>
      <c r="J142" s="5" t="s">
        <v>51</v>
      </c>
      <c r="K142" s="5" t="s">
        <v>5</v>
      </c>
      <c r="L142" s="5" t="s">
        <v>29</v>
      </c>
      <c r="M142" s="6">
        <v>44828</v>
      </c>
      <c r="N142" s="5">
        <v>249.99</v>
      </c>
      <c r="S142" t="str">
        <v>TRX0047</v>
      </c>
      <c r="T142">
        <v>45711</v>
      </c>
      <c r="U142" t="str">
        <v>CUST042</v>
      </c>
      <c r="V142" t="str">
        <v>Ruth Brooks</v>
      </c>
      <c r="W142" t="str">
        <v>P002</v>
      </c>
      <c r="X142" t="str">
        <v>Smartphone</v>
      </c>
      <c r="Y142" t="str">
        <v>Electronics</v>
      </c>
      <c r="Z142">
        <v>1</v>
      </c>
      <c r="AA142">
        <v>699.99</v>
      </c>
      <c r="AB142" t="str">
        <v>Cash</v>
      </c>
      <c r="AC142" t="str">
        <v>North</v>
      </c>
      <c r="AD142" t="str">
        <v>Premium</v>
      </c>
      <c r="AE142">
        <v>44583</v>
      </c>
      <c r="AF142">
        <v>699.99</v>
      </c>
    </row>
    <row r="143" spans="1:32" ht="15.75" customHeight="1">
      <c r="A143" s="5" t="s">
        <v>292</v>
      </c>
      <c r="B143" s="6">
        <v>45607</v>
      </c>
      <c r="C143" s="5" t="s">
        <v>85</v>
      </c>
      <c r="D143" s="5" t="s">
        <v>86</v>
      </c>
      <c r="E143" s="5" t="s">
        <v>68</v>
      </c>
      <c r="F143" s="5" t="s">
        <v>21</v>
      </c>
      <c r="G143" s="5" t="s">
        <v>11</v>
      </c>
      <c r="H143" s="5">
        <v>3</v>
      </c>
      <c r="I143" s="5">
        <v>149.99</v>
      </c>
      <c r="J143" s="5" t="s">
        <v>47</v>
      </c>
      <c r="K143" s="5" t="s">
        <v>5</v>
      </c>
      <c r="L143" s="5" t="s">
        <v>28</v>
      </c>
      <c r="M143" s="6">
        <v>44769</v>
      </c>
      <c r="N143" s="5">
        <v>449.97</v>
      </c>
      <c r="S143" t="str">
        <v>TRX0062</v>
      </c>
      <c r="T143">
        <v>45711</v>
      </c>
      <c r="U143" t="str">
        <v>CUST016</v>
      </c>
      <c r="V143" t="str">
        <v>Elizabeth Hall</v>
      </c>
      <c r="W143" t="str">
        <v>P010</v>
      </c>
      <c r="X143" t="str">
        <v>Keyboard</v>
      </c>
      <c r="Y143" t="str">
        <v>Electronics</v>
      </c>
      <c r="Z143">
        <v>5</v>
      </c>
      <c r="AA143">
        <v>89.99</v>
      </c>
      <c r="AB143" t="str">
        <v>PayPal</v>
      </c>
      <c r="AC143" t="str">
        <v>West</v>
      </c>
      <c r="AD143" t="str">
        <v>Premium</v>
      </c>
      <c r="AE143">
        <v>45140</v>
      </c>
      <c r="AF143">
        <v>449.95</v>
      </c>
    </row>
    <row r="144" spans="1:32" ht="15.75" customHeight="1">
      <c r="A144" s="5" t="s">
        <v>293</v>
      </c>
      <c r="B144" s="6">
        <v>45607</v>
      </c>
      <c r="C144" s="5" t="s">
        <v>44</v>
      </c>
      <c r="D144" s="5" t="s">
        <v>45</v>
      </c>
      <c r="E144" s="5" t="s">
        <v>55</v>
      </c>
      <c r="F144" s="5" t="s">
        <v>17</v>
      </c>
      <c r="G144" s="5" t="s">
        <v>10</v>
      </c>
      <c r="H144" s="5">
        <v>5</v>
      </c>
      <c r="I144" s="5">
        <v>59.99</v>
      </c>
      <c r="J144" s="5" t="s">
        <v>56</v>
      </c>
      <c r="K144" s="5" t="s">
        <v>7</v>
      </c>
      <c r="L144" s="5" t="s">
        <v>29</v>
      </c>
      <c r="M144" s="6">
        <v>44694</v>
      </c>
      <c r="N144" s="5">
        <v>299.95</v>
      </c>
      <c r="S144" t="str">
        <v>TRX0226</v>
      </c>
      <c r="T144">
        <v>45720</v>
      </c>
      <c r="U144" t="str">
        <v>CUST039</v>
      </c>
      <c r="V144" t="str">
        <v>Lawrence Reed</v>
      </c>
      <c r="W144" t="str">
        <v>P002</v>
      </c>
      <c r="X144" t="str">
        <v>Smartphone</v>
      </c>
      <c r="Y144" t="str">
        <v>Electronics</v>
      </c>
      <c r="Z144">
        <v>5</v>
      </c>
      <c r="AA144">
        <v>699.99</v>
      </c>
      <c r="AB144" t="str">
        <v>Debit Card</v>
      </c>
      <c r="AC144" t="str">
        <v>East</v>
      </c>
      <c r="AD144" t="str">
        <v>Premium</v>
      </c>
      <c r="AE144">
        <v>45161</v>
      </c>
      <c r="AF144">
        <v>3499.95</v>
      </c>
    </row>
    <row r="145" spans="1:32" ht="15.75" customHeight="1">
      <c r="A145" s="5" t="s">
        <v>294</v>
      </c>
      <c r="B145" s="6">
        <v>45607</v>
      </c>
      <c r="C145" s="5" t="s">
        <v>112</v>
      </c>
      <c r="D145" s="5" t="s">
        <v>113</v>
      </c>
      <c r="E145" s="5" t="s">
        <v>46</v>
      </c>
      <c r="F145" s="5" t="s">
        <v>24</v>
      </c>
      <c r="G145" s="5" t="s">
        <v>11</v>
      </c>
      <c r="H145" s="5">
        <v>4</v>
      </c>
      <c r="I145" s="5">
        <v>249.99</v>
      </c>
      <c r="J145" s="5" t="s">
        <v>51</v>
      </c>
      <c r="K145" s="5" t="s">
        <v>7</v>
      </c>
      <c r="L145" s="5" t="s">
        <v>30</v>
      </c>
      <c r="M145" s="6">
        <v>44659</v>
      </c>
      <c r="N145" s="5">
        <v>999.96</v>
      </c>
      <c r="S145" t="str">
        <v>TRX0233</v>
      </c>
      <c r="T145">
        <v>45723</v>
      </c>
      <c r="U145" t="str">
        <v>CUST023</v>
      </c>
      <c r="V145" t="str">
        <v>Paul Baker</v>
      </c>
      <c r="W145" t="str">
        <v>P010</v>
      </c>
      <c r="X145" t="str">
        <v>Keyboard</v>
      </c>
      <c r="Y145" t="str">
        <v>Electronics</v>
      </c>
      <c r="Z145">
        <v>2</v>
      </c>
      <c r="AA145">
        <v>89.99</v>
      </c>
      <c r="AB145" t="str">
        <v>Credit Card</v>
      </c>
      <c r="AC145" t="str">
        <v>West</v>
      </c>
      <c r="AD145" t="str">
        <v>Premium</v>
      </c>
      <c r="AE145">
        <v>45295</v>
      </c>
      <c r="AF145">
        <v>179.98</v>
      </c>
    </row>
    <row r="146" spans="1:32" ht="15.75" customHeight="1">
      <c r="A146" s="5" t="s">
        <v>295</v>
      </c>
      <c r="B146" s="6">
        <v>45608</v>
      </c>
      <c r="C146" s="5" t="s">
        <v>164</v>
      </c>
      <c r="D146" s="5" t="s">
        <v>165</v>
      </c>
      <c r="E146" s="5" t="s">
        <v>63</v>
      </c>
      <c r="F146" s="5" t="s">
        <v>18</v>
      </c>
      <c r="G146" s="5" t="s">
        <v>12</v>
      </c>
      <c r="H146" s="5">
        <v>5</v>
      </c>
      <c r="I146" s="5">
        <v>149.99</v>
      </c>
      <c r="J146" s="5" t="s">
        <v>56</v>
      </c>
      <c r="K146" s="5" t="s">
        <v>3</v>
      </c>
      <c r="L146" s="5" t="s">
        <v>28</v>
      </c>
      <c r="M146" s="6">
        <v>44901</v>
      </c>
      <c r="N146" s="5">
        <v>749.95</v>
      </c>
      <c r="S146" t="str">
        <v>TRX0175</v>
      </c>
      <c r="T146">
        <v>45723</v>
      </c>
      <c r="U146" t="str">
        <v>CUST030</v>
      </c>
      <c r="V146" t="str">
        <v>Helen Roberts</v>
      </c>
      <c r="W146" t="str">
        <v>P009</v>
      </c>
      <c r="X146" t="str">
        <v>Monitor</v>
      </c>
      <c r="Y146" t="str">
        <v>Electronics</v>
      </c>
      <c r="Z146">
        <v>5</v>
      </c>
      <c r="AA146">
        <v>249.99</v>
      </c>
      <c r="AB146" t="str">
        <v>Cash</v>
      </c>
      <c r="AC146" t="str">
        <v>East</v>
      </c>
      <c r="AD146" t="str">
        <v>Standard</v>
      </c>
      <c r="AE146">
        <v>44540</v>
      </c>
      <c r="AF146">
        <v>1249.95</v>
      </c>
    </row>
    <row r="147" spans="1:32" ht="15.75" customHeight="1">
      <c r="A147" s="5" t="s">
        <v>296</v>
      </c>
      <c r="B147" s="6">
        <v>45608</v>
      </c>
      <c r="C147" s="5" t="s">
        <v>96</v>
      </c>
      <c r="D147" s="5" t="s">
        <v>97</v>
      </c>
      <c r="E147" s="5" t="s">
        <v>55</v>
      </c>
      <c r="F147" s="5" t="s">
        <v>17</v>
      </c>
      <c r="G147" s="5" t="s">
        <v>10</v>
      </c>
      <c r="H147" s="5">
        <v>3</v>
      </c>
      <c r="I147" s="5">
        <v>59.99</v>
      </c>
      <c r="J147" s="5" t="s">
        <v>72</v>
      </c>
      <c r="K147" s="5" t="s">
        <v>6</v>
      </c>
      <c r="L147" s="5" t="s">
        <v>30</v>
      </c>
      <c r="M147" s="6">
        <v>45260</v>
      </c>
      <c r="N147" s="5">
        <v>179.97</v>
      </c>
      <c r="S147" t="str">
        <v>TRX0016</v>
      </c>
      <c r="T147">
        <v>45724</v>
      </c>
      <c r="U147" t="str">
        <v>CUST035</v>
      </c>
      <c r="V147" t="str">
        <v>Harry Morgan</v>
      </c>
      <c r="W147" t="str">
        <v>P001</v>
      </c>
      <c r="X147" t="str">
        <v>Laptop</v>
      </c>
      <c r="Y147" t="str">
        <v>Electronics</v>
      </c>
      <c r="Z147">
        <v>5</v>
      </c>
      <c r="AA147">
        <v>899.99</v>
      </c>
      <c r="AB147" t="str">
        <v>PayPal</v>
      </c>
      <c r="AC147" t="str">
        <v>East</v>
      </c>
      <c r="AD147" t="str">
        <v>Premium</v>
      </c>
      <c r="AE147">
        <v>45389</v>
      </c>
      <c r="AF147">
        <v>4499.95</v>
      </c>
    </row>
    <row r="148" spans="1:32" ht="15.75" customHeight="1">
      <c r="A148" s="5" t="s">
        <v>297</v>
      </c>
      <c r="B148" s="6">
        <v>45613</v>
      </c>
      <c r="C148" s="5" t="s">
        <v>244</v>
      </c>
      <c r="D148" s="5" t="s">
        <v>245</v>
      </c>
      <c r="E148" s="5" t="s">
        <v>63</v>
      </c>
      <c r="F148" s="5" t="s">
        <v>18</v>
      </c>
      <c r="G148" s="5" t="s">
        <v>12</v>
      </c>
      <c r="H148" s="5">
        <v>5</v>
      </c>
      <c r="I148" s="5">
        <v>149.99</v>
      </c>
      <c r="J148" s="5" t="s">
        <v>47</v>
      </c>
      <c r="K148" s="5" t="s">
        <v>5</v>
      </c>
      <c r="L148" s="5" t="s">
        <v>28</v>
      </c>
      <c r="M148" s="6">
        <v>44869</v>
      </c>
      <c r="N148" s="5">
        <v>749.95</v>
      </c>
      <c r="S148" t="str">
        <v>TRX0038</v>
      </c>
      <c r="T148">
        <v>45726</v>
      </c>
      <c r="U148" t="str">
        <v>CUST035</v>
      </c>
      <c r="V148" t="str">
        <v>Harry Morgan</v>
      </c>
      <c r="W148" t="str">
        <v>P009</v>
      </c>
      <c r="X148" t="str">
        <v>Monitor</v>
      </c>
      <c r="Y148" t="str">
        <v>Electronics</v>
      </c>
      <c r="Z148">
        <v>1</v>
      </c>
      <c r="AA148">
        <v>249.99</v>
      </c>
      <c r="AB148" t="str">
        <v>Cash</v>
      </c>
      <c r="AC148" t="str">
        <v>North</v>
      </c>
      <c r="AD148" t="str">
        <v>Standard</v>
      </c>
      <c r="AE148">
        <v>45117</v>
      </c>
      <c r="AF148">
        <v>249.99</v>
      </c>
    </row>
    <row r="149" spans="1:32" ht="15.75" customHeight="1">
      <c r="A149" s="5" t="s">
        <v>298</v>
      </c>
      <c r="B149" s="6">
        <v>45613</v>
      </c>
      <c r="C149" s="5" t="s">
        <v>99</v>
      </c>
      <c r="D149" s="5" t="s">
        <v>100</v>
      </c>
      <c r="E149" s="5" t="s">
        <v>94</v>
      </c>
      <c r="F149" s="5" t="s">
        <v>26</v>
      </c>
      <c r="G149" s="5" t="s">
        <v>11</v>
      </c>
      <c r="H149" s="5">
        <v>2</v>
      </c>
      <c r="I149" s="5">
        <v>699.99</v>
      </c>
      <c r="J149" s="5" t="s">
        <v>56</v>
      </c>
      <c r="K149" s="5" t="s">
        <v>7</v>
      </c>
      <c r="L149" s="5" t="s">
        <v>30</v>
      </c>
      <c r="M149" s="6">
        <v>44770</v>
      </c>
      <c r="N149" s="5">
        <v>1399.98</v>
      </c>
      <c r="S149" t="str">
        <v>TRX0124</v>
      </c>
      <c r="T149">
        <v>45737</v>
      </c>
      <c r="U149" t="str">
        <v>CUST040</v>
      </c>
      <c r="V149" t="str">
        <v>Sharon Butler</v>
      </c>
      <c r="W149" t="str">
        <v>P001</v>
      </c>
      <c r="X149" t="str">
        <v>Laptop</v>
      </c>
      <c r="Y149" t="str">
        <v>Electronics</v>
      </c>
      <c r="Z149">
        <v>3</v>
      </c>
      <c r="AA149">
        <v>899.99</v>
      </c>
      <c r="AB149" t="str">
        <v>Debit Card</v>
      </c>
      <c r="AC149" t="str">
        <v>North</v>
      </c>
      <c r="AD149" t="str">
        <v>Premium</v>
      </c>
      <c r="AE149">
        <v>44876</v>
      </c>
      <c r="AF149">
        <v>2699.97</v>
      </c>
    </row>
    <row r="150" spans="1:32" ht="15.75" customHeight="1">
      <c r="A150" s="5" t="s">
        <v>299</v>
      </c>
      <c r="B150" s="6">
        <v>45617</v>
      </c>
      <c r="C150" s="5" t="s">
        <v>134</v>
      </c>
      <c r="D150" s="5" t="s">
        <v>135</v>
      </c>
      <c r="E150" s="5" t="s">
        <v>137</v>
      </c>
      <c r="F150" s="5" t="s">
        <v>25</v>
      </c>
      <c r="G150" s="5" t="s">
        <v>12</v>
      </c>
      <c r="H150" s="5">
        <v>4</v>
      </c>
      <c r="I150" s="5">
        <v>199.99</v>
      </c>
      <c r="J150" s="5" t="s">
        <v>72</v>
      </c>
      <c r="K150" s="5" t="s">
        <v>3</v>
      </c>
      <c r="L150" s="5" t="s">
        <v>29</v>
      </c>
      <c r="M150" s="6">
        <v>44427</v>
      </c>
      <c r="N150" s="5">
        <v>799.96</v>
      </c>
      <c r="S150" t="str">
        <v>TRX0013</v>
      </c>
      <c r="T150">
        <v>45737</v>
      </c>
      <c r="U150" t="str">
        <v>CUST024</v>
      </c>
      <c r="V150" t="str">
        <v>Dorothy Nelson</v>
      </c>
      <c r="W150" t="str">
        <v>P001</v>
      </c>
      <c r="X150" t="str">
        <v>Laptop</v>
      </c>
      <c r="Y150" t="str">
        <v>Electronics</v>
      </c>
      <c r="Z150">
        <v>3</v>
      </c>
      <c r="AA150">
        <v>899.99</v>
      </c>
      <c r="AB150" t="str">
        <v>PayPal</v>
      </c>
      <c r="AC150" t="str">
        <v>North</v>
      </c>
      <c r="AD150" t="str">
        <v>Basic</v>
      </c>
      <c r="AE150">
        <v>44975</v>
      </c>
      <c r="AF150">
        <v>2699.97</v>
      </c>
    </row>
    <row r="151" spans="1:32" ht="15.75" customHeight="1">
      <c r="A151" s="5" t="s">
        <v>300</v>
      </c>
      <c r="B151" s="6">
        <v>45619</v>
      </c>
      <c r="C151" s="5" t="s">
        <v>202</v>
      </c>
      <c r="D151" s="5" t="s">
        <v>203</v>
      </c>
      <c r="E151" s="5" t="s">
        <v>55</v>
      </c>
      <c r="F151" s="5" t="s">
        <v>17</v>
      </c>
      <c r="G151" s="5" t="s">
        <v>10</v>
      </c>
      <c r="H151" s="5">
        <v>1</v>
      </c>
      <c r="I151" s="5">
        <v>59.99</v>
      </c>
      <c r="J151" s="5" t="s">
        <v>72</v>
      </c>
      <c r="K151" s="5" t="s">
        <v>7</v>
      </c>
      <c r="L151" s="5" t="s">
        <v>30</v>
      </c>
      <c r="M151" s="6">
        <v>44560</v>
      </c>
      <c r="N151" s="5">
        <v>59.99</v>
      </c>
      <c r="S151" t="str">
        <v>TRX0213</v>
      </c>
      <c r="T151">
        <v>45745</v>
      </c>
      <c r="U151" t="str">
        <v>CUST020</v>
      </c>
      <c r="V151" t="str">
        <v>Margaret Wright</v>
      </c>
      <c r="W151" t="str">
        <v>P010</v>
      </c>
      <c r="X151" t="str">
        <v>Keyboard</v>
      </c>
      <c r="Y151" t="str">
        <v>Electronics</v>
      </c>
      <c r="Z151">
        <v>5</v>
      </c>
      <c r="AA151">
        <v>89.99</v>
      </c>
      <c r="AB151" t="str">
        <v>PayPal</v>
      </c>
      <c r="AC151" t="str">
        <v>South</v>
      </c>
      <c r="AD151" t="str">
        <v>Basic</v>
      </c>
      <c r="AE151">
        <v>44704</v>
      </c>
      <c r="AF151">
        <v>449.95</v>
      </c>
    </row>
    <row r="152" spans="1:32" ht="15.75" customHeight="1">
      <c r="A152" s="5" t="s">
        <v>301</v>
      </c>
      <c r="B152" s="6">
        <v>45619</v>
      </c>
      <c r="C152" s="5" t="s">
        <v>164</v>
      </c>
      <c r="D152" s="5" t="s">
        <v>165</v>
      </c>
      <c r="E152" s="5" t="s">
        <v>94</v>
      </c>
      <c r="F152" s="5" t="s">
        <v>26</v>
      </c>
      <c r="G152" s="5" t="s">
        <v>11</v>
      </c>
      <c r="H152" s="5">
        <v>3</v>
      </c>
      <c r="I152" s="5">
        <v>699.99</v>
      </c>
      <c r="J152" s="5" t="s">
        <v>56</v>
      </c>
      <c r="K152" s="5" t="s">
        <v>7</v>
      </c>
      <c r="L152" s="5" t="s">
        <v>30</v>
      </c>
      <c r="M152" s="6">
        <v>44583</v>
      </c>
      <c r="N152" s="5">
        <v>2099.9699999999998</v>
      </c>
      <c r="S152" t="str">
        <v>TRX0250</v>
      </c>
      <c r="T152">
        <v>45746</v>
      </c>
      <c r="U152" t="str">
        <v>CUST026</v>
      </c>
      <c r="V152" t="str">
        <v>Karen Hill</v>
      </c>
      <c r="W152" t="str">
        <v>P010</v>
      </c>
      <c r="X152" t="str">
        <v>Keyboard</v>
      </c>
      <c r="Y152" t="str">
        <v>Electronics</v>
      </c>
      <c r="Z152">
        <v>2</v>
      </c>
      <c r="AA152">
        <v>89.99</v>
      </c>
      <c r="AB152" t="str">
        <v>Debit Card</v>
      </c>
      <c r="AC152" t="str">
        <v>West</v>
      </c>
      <c r="AD152" t="str">
        <v>Premium</v>
      </c>
      <c r="AE152">
        <v>44522</v>
      </c>
      <c r="AF152">
        <v>179.98</v>
      </c>
    </row>
    <row r="153" spans="1:32" ht="15.75" customHeight="1">
      <c r="A153" s="5" t="s">
        <v>302</v>
      </c>
      <c r="B153" s="6">
        <v>45622</v>
      </c>
      <c r="C153" s="5" t="s">
        <v>303</v>
      </c>
      <c r="D153" s="5" t="s">
        <v>304</v>
      </c>
      <c r="E153" s="5" t="s">
        <v>46</v>
      </c>
      <c r="F153" s="5" t="s">
        <v>24</v>
      </c>
      <c r="G153" s="5" t="s">
        <v>11</v>
      </c>
      <c r="H153" s="5">
        <v>5</v>
      </c>
      <c r="I153" s="5">
        <v>249.99</v>
      </c>
      <c r="J153" s="5" t="s">
        <v>51</v>
      </c>
      <c r="K153" s="5" t="s">
        <v>5</v>
      </c>
      <c r="L153" s="5" t="s">
        <v>28</v>
      </c>
      <c r="M153" s="6">
        <v>44873</v>
      </c>
      <c r="N153" s="5">
        <v>1249.95</v>
      </c>
      <c r="S153" t="str">
        <v>TRX0068</v>
      </c>
      <c r="T153">
        <v>45748</v>
      </c>
      <c r="U153" t="str">
        <v>CUST044</v>
      </c>
      <c r="V153" t="str">
        <v>Cynthia Price</v>
      </c>
      <c r="W153" t="str">
        <v>P002</v>
      </c>
      <c r="X153" t="str">
        <v>Smartphone</v>
      </c>
      <c r="Y153" t="str">
        <v>Electronics</v>
      </c>
      <c r="Z153">
        <v>2</v>
      </c>
      <c r="AA153">
        <v>699.99</v>
      </c>
      <c r="AB153" t="str">
        <v>PayPal</v>
      </c>
      <c r="AC153" t="str">
        <v>North</v>
      </c>
      <c r="AD153" t="str">
        <v>Standard</v>
      </c>
      <c r="AE153">
        <v>44618</v>
      </c>
      <c r="AF153">
        <v>1399.98</v>
      </c>
    </row>
    <row r="154" spans="1:32" ht="15.75" customHeight="1">
      <c r="A154" s="5" t="s">
        <v>305</v>
      </c>
      <c r="B154" s="6">
        <v>45623</v>
      </c>
      <c r="C154" s="5" t="s">
        <v>125</v>
      </c>
      <c r="D154" s="5" t="s">
        <v>126</v>
      </c>
      <c r="E154" s="5" t="s">
        <v>63</v>
      </c>
      <c r="F154" s="5" t="s">
        <v>18</v>
      </c>
      <c r="G154" s="5" t="s">
        <v>12</v>
      </c>
      <c r="H154" s="5">
        <v>2</v>
      </c>
      <c r="I154" s="5">
        <v>149.99</v>
      </c>
      <c r="J154" s="5" t="s">
        <v>47</v>
      </c>
      <c r="K154" s="5" t="s">
        <v>6</v>
      </c>
      <c r="L154" s="5" t="s">
        <v>30</v>
      </c>
      <c r="M154" s="6">
        <v>45101</v>
      </c>
      <c r="N154" s="5">
        <v>299.98</v>
      </c>
      <c r="S154" t="str">
        <v>TRX0144</v>
      </c>
      <c r="T154">
        <v>45749</v>
      </c>
      <c r="U154" t="str">
        <v>CUST029</v>
      </c>
      <c r="V154" t="str">
        <v>Edward Mitchell</v>
      </c>
      <c r="W154" t="str">
        <v>P001</v>
      </c>
      <c r="X154" t="str">
        <v>Laptop</v>
      </c>
      <c r="Y154" t="str">
        <v>Electronics</v>
      </c>
      <c r="Z154">
        <v>3</v>
      </c>
      <c r="AA154">
        <v>899.99</v>
      </c>
      <c r="AB154" t="str">
        <v>Cash</v>
      </c>
      <c r="AC154" t="str">
        <v>Central</v>
      </c>
      <c r="AD154" t="str">
        <v>Standard</v>
      </c>
      <c r="AE154">
        <v>44953</v>
      </c>
      <c r="AF154">
        <v>2699.97</v>
      </c>
    </row>
    <row r="155" spans="1:32" ht="15.75" customHeight="1">
      <c r="A155" s="5" t="s">
        <v>306</v>
      </c>
      <c r="B155" s="6">
        <v>45627</v>
      </c>
      <c r="C155" s="5" t="s">
        <v>53</v>
      </c>
      <c r="D155" s="5" t="s">
        <v>54</v>
      </c>
      <c r="E155" s="5" t="s">
        <v>118</v>
      </c>
      <c r="F155" s="5" t="s">
        <v>20</v>
      </c>
      <c r="G155" s="5" t="s">
        <v>12</v>
      </c>
      <c r="H155" s="5">
        <v>3</v>
      </c>
      <c r="I155" s="5">
        <v>299.99</v>
      </c>
      <c r="J155" s="5" t="s">
        <v>47</v>
      </c>
      <c r="K155" s="5" t="s">
        <v>6</v>
      </c>
      <c r="L155" s="5" t="s">
        <v>29</v>
      </c>
      <c r="M155" s="6">
        <v>44659</v>
      </c>
      <c r="N155" s="5">
        <v>899.97</v>
      </c>
      <c r="S155" t="str">
        <v>TRX0116</v>
      </c>
      <c r="T155">
        <v>45756</v>
      </c>
      <c r="U155" t="str">
        <v>CUST009</v>
      </c>
      <c r="V155" t="str">
        <v>Robert Thomas</v>
      </c>
      <c r="W155" t="str">
        <v>P010</v>
      </c>
      <c r="X155" t="str">
        <v>Keyboard</v>
      </c>
      <c r="Y155" t="str">
        <v>Electronics</v>
      </c>
      <c r="Z155">
        <v>1</v>
      </c>
      <c r="AA155">
        <v>89.99</v>
      </c>
      <c r="AB155" t="str">
        <v>Debit Card</v>
      </c>
      <c r="AC155" t="str">
        <v>East</v>
      </c>
      <c r="AD155" t="str">
        <v>Basic</v>
      </c>
      <c r="AE155">
        <v>45346</v>
      </c>
      <c r="AF155">
        <v>89.99</v>
      </c>
    </row>
    <row r="156" spans="1:32" ht="15.75" customHeight="1">
      <c r="A156" s="5" t="s">
        <v>307</v>
      </c>
      <c r="B156" s="6">
        <v>45627</v>
      </c>
      <c r="C156" s="5" t="s">
        <v>70</v>
      </c>
      <c r="D156" s="5" t="s">
        <v>71</v>
      </c>
      <c r="E156" s="5" t="s">
        <v>46</v>
      </c>
      <c r="F156" s="5" t="s">
        <v>24</v>
      </c>
      <c r="G156" s="5" t="s">
        <v>11</v>
      </c>
      <c r="H156" s="5">
        <v>5</v>
      </c>
      <c r="I156" s="5">
        <v>249.99</v>
      </c>
      <c r="J156" s="5" t="s">
        <v>47</v>
      </c>
      <c r="K156" s="5" t="s">
        <v>3</v>
      </c>
      <c r="L156" s="5" t="s">
        <v>29</v>
      </c>
      <c r="M156" s="6">
        <v>44485</v>
      </c>
      <c r="N156" s="5">
        <v>1249.95</v>
      </c>
      <c r="S156" t="str">
        <v>TRX0120</v>
      </c>
      <c r="T156">
        <v>45758</v>
      </c>
      <c r="U156" t="str">
        <v>CUST045</v>
      </c>
      <c r="V156" t="str">
        <v>Douglas Watson</v>
      </c>
      <c r="W156" t="str">
        <v>P002</v>
      </c>
      <c r="X156" t="str">
        <v>Smartphone</v>
      </c>
      <c r="Y156" t="str">
        <v>Electronics</v>
      </c>
      <c r="Z156">
        <v>3</v>
      </c>
      <c r="AA156">
        <v>699.99</v>
      </c>
      <c r="AB156" t="str">
        <v>PayPal</v>
      </c>
      <c r="AC156" t="str">
        <v>North</v>
      </c>
      <c r="AD156" t="str">
        <v>Basic</v>
      </c>
      <c r="AE156">
        <v>44909</v>
      </c>
      <c r="AF156">
        <v>2099.9699999999998</v>
      </c>
    </row>
    <row r="157" spans="1:32" ht="15.75" customHeight="1">
      <c r="A157" s="5" t="s">
        <v>308</v>
      </c>
      <c r="B157" s="6">
        <v>45627</v>
      </c>
      <c r="C157" s="5" t="s">
        <v>49</v>
      </c>
      <c r="D157" s="5" t="s">
        <v>50</v>
      </c>
      <c r="E157" s="5" t="s">
        <v>68</v>
      </c>
      <c r="F157" s="5" t="s">
        <v>21</v>
      </c>
      <c r="G157" s="5" t="s">
        <v>11</v>
      </c>
      <c r="H157" s="5">
        <v>2</v>
      </c>
      <c r="I157" s="5">
        <v>149.99</v>
      </c>
      <c r="J157" s="5" t="s">
        <v>47</v>
      </c>
      <c r="K157" s="5" t="s">
        <v>6</v>
      </c>
      <c r="L157" s="5" t="s">
        <v>29</v>
      </c>
      <c r="M157" s="6">
        <v>44475</v>
      </c>
      <c r="N157" s="5">
        <v>299.98</v>
      </c>
      <c r="S157" t="str">
        <v>TRX0103</v>
      </c>
      <c r="T157">
        <v>45758</v>
      </c>
      <c r="U157" t="str">
        <v>CUST039</v>
      </c>
      <c r="V157" t="str">
        <v>Lawrence Reed</v>
      </c>
      <c r="W157" t="str">
        <v>P010</v>
      </c>
      <c r="X157" t="str">
        <v>Keyboard</v>
      </c>
      <c r="Y157" t="str">
        <v>Electronics</v>
      </c>
      <c r="Z157">
        <v>2</v>
      </c>
      <c r="AA157">
        <v>89.99</v>
      </c>
      <c r="AB157" t="str">
        <v>Debit Card</v>
      </c>
      <c r="AC157" t="str">
        <v>East</v>
      </c>
      <c r="AD157" t="str">
        <v>Basic</v>
      </c>
      <c r="AE157">
        <v>45088</v>
      </c>
      <c r="AF157">
        <v>179.98</v>
      </c>
    </row>
    <row r="158" spans="1:32" ht="15.75" customHeight="1">
      <c r="A158" s="5" t="s">
        <v>309</v>
      </c>
      <c r="B158" s="6">
        <v>45627</v>
      </c>
      <c r="C158" s="5" t="s">
        <v>99</v>
      </c>
      <c r="D158" s="5" t="s">
        <v>100</v>
      </c>
      <c r="E158" s="5" t="s">
        <v>94</v>
      </c>
      <c r="F158" s="5" t="s">
        <v>26</v>
      </c>
      <c r="G158" s="5" t="s">
        <v>11</v>
      </c>
      <c r="H158" s="5">
        <v>5</v>
      </c>
      <c r="I158" s="5">
        <v>699.99</v>
      </c>
      <c r="J158" s="5" t="s">
        <v>72</v>
      </c>
      <c r="K158" s="5" t="s">
        <v>7</v>
      </c>
      <c r="L158" s="5" t="s">
        <v>30</v>
      </c>
      <c r="M158" s="6">
        <v>44944</v>
      </c>
      <c r="N158" s="5">
        <v>3499.95</v>
      </c>
      <c r="S158" t="str">
        <v>TRX0064</v>
      </c>
      <c r="T158">
        <v>45758</v>
      </c>
      <c r="U158" t="str">
        <v>CUST031</v>
      </c>
      <c r="V158" t="str">
        <v>Steven Turner</v>
      </c>
      <c r="W158" t="str">
        <v>P010</v>
      </c>
      <c r="X158" t="str">
        <v>Keyboard</v>
      </c>
      <c r="Y158" t="str">
        <v>Electronics</v>
      </c>
      <c r="Z158">
        <v>3</v>
      </c>
      <c r="AA158">
        <v>89.99</v>
      </c>
      <c r="AB158" t="str">
        <v>Debit Card</v>
      </c>
      <c r="AC158" t="str">
        <v>North</v>
      </c>
      <c r="AD158" t="str">
        <v>Premium</v>
      </c>
      <c r="AE158">
        <v>44878</v>
      </c>
      <c r="AF158">
        <v>269.97000000000003</v>
      </c>
    </row>
    <row r="159" spans="1:32" ht="15.75" customHeight="1">
      <c r="A159" s="5" t="s">
        <v>310</v>
      </c>
      <c r="B159" s="6">
        <v>45629</v>
      </c>
      <c r="C159" s="5" t="s">
        <v>262</v>
      </c>
      <c r="D159" s="5" t="s">
        <v>263</v>
      </c>
      <c r="E159" s="5" t="s">
        <v>46</v>
      </c>
      <c r="F159" s="5" t="s">
        <v>24</v>
      </c>
      <c r="G159" s="5" t="s">
        <v>11</v>
      </c>
      <c r="H159" s="5">
        <v>4</v>
      </c>
      <c r="I159" s="5">
        <v>249.99</v>
      </c>
      <c r="J159" s="5" t="s">
        <v>56</v>
      </c>
      <c r="K159" s="5" t="s">
        <v>4</v>
      </c>
      <c r="L159" s="5" t="s">
        <v>29</v>
      </c>
      <c r="M159" s="6">
        <v>45098</v>
      </c>
      <c r="N159" s="5">
        <v>999.96</v>
      </c>
    </row>
    <row r="160" spans="1:32" ht="15.75" customHeight="1">
      <c r="A160" s="5" t="s">
        <v>311</v>
      </c>
      <c r="B160" s="6">
        <v>45630</v>
      </c>
      <c r="C160" s="5" t="s">
        <v>65</v>
      </c>
      <c r="D160" s="5" t="s">
        <v>66</v>
      </c>
      <c r="E160" s="5" t="s">
        <v>94</v>
      </c>
      <c r="F160" s="5" t="s">
        <v>26</v>
      </c>
      <c r="G160" s="5" t="s">
        <v>11</v>
      </c>
      <c r="H160" s="5">
        <v>4</v>
      </c>
      <c r="I160" s="5">
        <v>699.99</v>
      </c>
      <c r="J160" s="5" t="s">
        <v>51</v>
      </c>
      <c r="K160" s="5" t="s">
        <v>5</v>
      </c>
      <c r="L160" s="5" t="s">
        <v>29</v>
      </c>
      <c r="M160" s="6">
        <v>44703</v>
      </c>
      <c r="N160" s="5">
        <v>2799.96</v>
      </c>
      <c r="S160" t="str" cm="1">
        <f t="array" ref="S160:AF254">_xlfn._xlws.FILTER(A2:N251,L2:L251="Premium")</f>
        <v>TRX0023</v>
      </c>
      <c r="T160">
        <v>45396</v>
      </c>
      <c r="U160" t="str">
        <v>CUST013</v>
      </c>
      <c r="V160" t="str">
        <v>Joseph Jackson</v>
      </c>
      <c r="W160" t="str">
        <v>P009</v>
      </c>
      <c r="X160" t="str">
        <v>Monitor</v>
      </c>
      <c r="Y160" t="str">
        <v>Electronics</v>
      </c>
      <c r="Z160">
        <v>3</v>
      </c>
      <c r="AA160">
        <v>249.99</v>
      </c>
      <c r="AB160" t="str">
        <v>Credit Card</v>
      </c>
      <c r="AC160" t="str">
        <v>Central</v>
      </c>
      <c r="AD160" t="str">
        <v>Premium</v>
      </c>
      <c r="AE160">
        <v>44575</v>
      </c>
      <c r="AF160">
        <v>749.97</v>
      </c>
    </row>
    <row r="161" spans="1:32" ht="15.75" customHeight="1">
      <c r="A161" s="5" t="s">
        <v>312</v>
      </c>
      <c r="B161" s="6">
        <v>45635</v>
      </c>
      <c r="C161" s="5" t="s">
        <v>120</v>
      </c>
      <c r="D161" s="5" t="s">
        <v>121</v>
      </c>
      <c r="E161" s="5" t="s">
        <v>46</v>
      </c>
      <c r="F161" s="5" t="s">
        <v>24</v>
      </c>
      <c r="G161" s="5" t="s">
        <v>11</v>
      </c>
      <c r="H161" s="5">
        <v>2</v>
      </c>
      <c r="I161" s="5">
        <v>249.99</v>
      </c>
      <c r="J161" s="5" t="s">
        <v>51</v>
      </c>
      <c r="K161" s="5" t="s">
        <v>3</v>
      </c>
      <c r="L161" s="5" t="s">
        <v>29</v>
      </c>
      <c r="M161" s="6">
        <v>44396</v>
      </c>
      <c r="N161" s="5">
        <v>499.98</v>
      </c>
      <c r="S161" t="str">
        <v>TRX0043</v>
      </c>
      <c r="T161">
        <v>45400</v>
      </c>
      <c r="U161" t="str">
        <v>CUST046</v>
      </c>
      <c r="V161" t="str">
        <v>Kathleen Bennett</v>
      </c>
      <c r="W161" t="str">
        <v>P005</v>
      </c>
      <c r="X161" t="str">
        <v>Blender</v>
      </c>
      <c r="Y161" t="str">
        <v>Appliances</v>
      </c>
      <c r="Z161">
        <v>3</v>
      </c>
      <c r="AA161">
        <v>59.99</v>
      </c>
      <c r="AB161" t="str">
        <v>Cash</v>
      </c>
      <c r="AC161" t="str">
        <v>North</v>
      </c>
      <c r="AD161" t="str">
        <v>Premium</v>
      </c>
      <c r="AE161">
        <v>45114</v>
      </c>
      <c r="AF161">
        <v>179.97</v>
      </c>
    </row>
    <row r="162" spans="1:32" ht="15.75" customHeight="1">
      <c r="A162" s="5" t="s">
        <v>313</v>
      </c>
      <c r="B162" s="6">
        <v>45635</v>
      </c>
      <c r="C162" s="5" t="s">
        <v>314</v>
      </c>
      <c r="D162" s="5" t="s">
        <v>315</v>
      </c>
      <c r="E162" s="5" t="s">
        <v>55</v>
      </c>
      <c r="F162" s="5" t="s">
        <v>17</v>
      </c>
      <c r="G162" s="5" t="s">
        <v>10</v>
      </c>
      <c r="H162" s="5">
        <v>3</v>
      </c>
      <c r="I162" s="5">
        <v>59.99</v>
      </c>
      <c r="J162" s="5" t="s">
        <v>47</v>
      </c>
      <c r="K162" s="5" t="s">
        <v>3</v>
      </c>
      <c r="L162" s="5" t="s">
        <v>29</v>
      </c>
      <c r="M162" s="6">
        <v>45052</v>
      </c>
      <c r="N162" s="5">
        <v>179.97</v>
      </c>
      <c r="S162" t="str">
        <v>TRX0212</v>
      </c>
      <c r="T162">
        <v>45400</v>
      </c>
      <c r="U162" t="str">
        <v>CUST003</v>
      </c>
      <c r="V162" t="str">
        <v>Michael Brown</v>
      </c>
      <c r="W162" t="str">
        <v>P008</v>
      </c>
      <c r="X162" t="str">
        <v>Bookshelf</v>
      </c>
      <c r="Y162" t="str">
        <v>Furniture</v>
      </c>
      <c r="Z162">
        <v>5</v>
      </c>
      <c r="AA162">
        <v>149.99</v>
      </c>
      <c r="AB162" t="str">
        <v>Credit Card</v>
      </c>
      <c r="AC162" t="str">
        <v>North</v>
      </c>
      <c r="AD162" t="str">
        <v>Premium</v>
      </c>
      <c r="AE162">
        <v>45295</v>
      </c>
      <c r="AF162">
        <v>749.95</v>
      </c>
    </row>
    <row r="163" spans="1:32" ht="15.75" customHeight="1">
      <c r="A163" s="5" t="s">
        <v>316</v>
      </c>
      <c r="B163" s="6">
        <v>45635</v>
      </c>
      <c r="C163" s="5" t="s">
        <v>151</v>
      </c>
      <c r="D163" s="5" t="s">
        <v>152</v>
      </c>
      <c r="E163" s="5" t="s">
        <v>127</v>
      </c>
      <c r="F163" s="5" t="s">
        <v>19</v>
      </c>
      <c r="G163" s="5" t="s">
        <v>10</v>
      </c>
      <c r="H163" s="5">
        <v>4</v>
      </c>
      <c r="I163" s="5">
        <v>79.989999999999995</v>
      </c>
      <c r="J163" s="5" t="s">
        <v>72</v>
      </c>
      <c r="K163" s="5" t="s">
        <v>4</v>
      </c>
      <c r="L163" s="5" t="s">
        <v>30</v>
      </c>
      <c r="M163" s="6">
        <v>44921</v>
      </c>
      <c r="N163" s="5">
        <v>319.95999999999998</v>
      </c>
      <c r="S163" t="str">
        <v>TRX0185</v>
      </c>
      <c r="T163">
        <v>45408</v>
      </c>
      <c r="U163" t="str">
        <v>CUST026</v>
      </c>
      <c r="V163" t="str">
        <v>Karen Hill</v>
      </c>
      <c r="W163" t="str">
        <v>P005</v>
      </c>
      <c r="X163" t="str">
        <v>Blender</v>
      </c>
      <c r="Y163" t="str">
        <v>Appliances</v>
      </c>
      <c r="Z163">
        <v>3</v>
      </c>
      <c r="AA163">
        <v>59.99</v>
      </c>
      <c r="AB163" t="str">
        <v>Cash</v>
      </c>
      <c r="AC163" t="str">
        <v>West</v>
      </c>
      <c r="AD163" t="str">
        <v>Premium</v>
      </c>
      <c r="AE163">
        <v>45207</v>
      </c>
      <c r="AF163">
        <v>179.97</v>
      </c>
    </row>
    <row r="164" spans="1:32" ht="15.75" customHeight="1">
      <c r="A164" s="5" t="s">
        <v>317</v>
      </c>
      <c r="B164" s="6">
        <v>45636</v>
      </c>
      <c r="C164" s="5" t="s">
        <v>131</v>
      </c>
      <c r="D164" s="5" t="s">
        <v>132</v>
      </c>
      <c r="E164" s="5" t="s">
        <v>127</v>
      </c>
      <c r="F164" s="5" t="s">
        <v>19</v>
      </c>
      <c r="G164" s="5" t="s">
        <v>10</v>
      </c>
      <c r="H164" s="5">
        <v>3</v>
      </c>
      <c r="I164" s="5">
        <v>79.989999999999995</v>
      </c>
      <c r="J164" s="5" t="s">
        <v>72</v>
      </c>
      <c r="K164" s="5" t="s">
        <v>4</v>
      </c>
      <c r="L164" s="5" t="s">
        <v>30</v>
      </c>
      <c r="M164" s="6">
        <v>44779</v>
      </c>
      <c r="N164" s="5">
        <v>239.97</v>
      </c>
      <c r="S164" t="str">
        <v>TRX0246</v>
      </c>
      <c r="T164">
        <v>45408</v>
      </c>
      <c r="U164" t="str">
        <v>CUST041</v>
      </c>
      <c r="V164" t="str">
        <v>Peter Richardson</v>
      </c>
      <c r="W164" t="str">
        <v>P008</v>
      </c>
      <c r="X164" t="str">
        <v>Bookshelf</v>
      </c>
      <c r="Y164" t="str">
        <v>Furniture</v>
      </c>
      <c r="Z164">
        <v>3</v>
      </c>
      <c r="AA164">
        <v>149.99</v>
      </c>
      <c r="AB164" t="str">
        <v>Cash</v>
      </c>
      <c r="AC164" t="str">
        <v>North</v>
      </c>
      <c r="AD164" t="str">
        <v>Premium</v>
      </c>
      <c r="AE164">
        <v>44806</v>
      </c>
      <c r="AF164">
        <v>449.97</v>
      </c>
    </row>
    <row r="165" spans="1:32" ht="15.75" customHeight="1">
      <c r="A165" s="5" t="s">
        <v>318</v>
      </c>
      <c r="B165" s="6">
        <v>45638</v>
      </c>
      <c r="C165" s="5" t="s">
        <v>85</v>
      </c>
      <c r="D165" s="5" t="s">
        <v>86</v>
      </c>
      <c r="E165" s="5" t="s">
        <v>76</v>
      </c>
      <c r="F165" s="5" t="s">
        <v>23</v>
      </c>
      <c r="G165" s="5" t="s">
        <v>11</v>
      </c>
      <c r="H165" s="5">
        <v>2</v>
      </c>
      <c r="I165" s="5">
        <v>899.99</v>
      </c>
      <c r="J165" s="5" t="s">
        <v>47</v>
      </c>
      <c r="K165" s="5" t="s">
        <v>5</v>
      </c>
      <c r="L165" s="5" t="s">
        <v>28</v>
      </c>
      <c r="M165" s="6">
        <v>44406</v>
      </c>
      <c r="N165" s="5">
        <v>1799.98</v>
      </c>
      <c r="S165" t="str">
        <v>TRX0049</v>
      </c>
      <c r="T165">
        <v>45410</v>
      </c>
      <c r="U165" t="str">
        <v>CUST025</v>
      </c>
      <c r="V165" t="str">
        <v>Mark Carter</v>
      </c>
      <c r="W165" t="str">
        <v>P008</v>
      </c>
      <c r="X165" t="str">
        <v>Bookshelf</v>
      </c>
      <c r="Y165" t="str">
        <v>Furniture</v>
      </c>
      <c r="Z165">
        <v>4</v>
      </c>
      <c r="AA165">
        <v>149.99</v>
      </c>
      <c r="AB165" t="str">
        <v>Debit Card</v>
      </c>
      <c r="AC165" t="str">
        <v>North</v>
      </c>
      <c r="AD165" t="str">
        <v>Premium</v>
      </c>
      <c r="AE165">
        <v>45374</v>
      </c>
      <c r="AF165">
        <v>599.96</v>
      </c>
    </row>
    <row r="166" spans="1:32" ht="15.75" customHeight="1">
      <c r="A166" s="5" t="s">
        <v>319</v>
      </c>
      <c r="B166" s="6">
        <v>45641</v>
      </c>
      <c r="C166" s="5" t="s">
        <v>192</v>
      </c>
      <c r="D166" s="5" t="s">
        <v>193</v>
      </c>
      <c r="E166" s="5" t="s">
        <v>63</v>
      </c>
      <c r="F166" s="5" t="s">
        <v>18</v>
      </c>
      <c r="G166" s="5" t="s">
        <v>12</v>
      </c>
      <c r="H166" s="5">
        <v>1</v>
      </c>
      <c r="I166" s="5">
        <v>149.99</v>
      </c>
      <c r="J166" s="5" t="s">
        <v>72</v>
      </c>
      <c r="K166" s="5" t="s">
        <v>4</v>
      </c>
      <c r="L166" s="5" t="s">
        <v>30</v>
      </c>
      <c r="M166" s="6">
        <v>45200</v>
      </c>
      <c r="N166" s="5">
        <v>149.99</v>
      </c>
      <c r="S166" t="str">
        <v>TRX0222</v>
      </c>
      <c r="T166">
        <v>45410</v>
      </c>
      <c r="U166" t="str">
        <v>CUST048</v>
      </c>
      <c r="V166" t="str">
        <v>Virginia Sanders</v>
      </c>
      <c r="W166" t="str">
        <v>P009</v>
      </c>
      <c r="X166" t="str">
        <v>Monitor</v>
      </c>
      <c r="Y166" t="str">
        <v>Electronics</v>
      </c>
      <c r="Z166">
        <v>3</v>
      </c>
      <c r="AA166">
        <v>249.99</v>
      </c>
      <c r="AB166" t="str">
        <v>Credit Card</v>
      </c>
      <c r="AC166" t="str">
        <v>North</v>
      </c>
      <c r="AD166" t="str">
        <v>Premium</v>
      </c>
      <c r="AE166">
        <v>45224</v>
      </c>
      <c r="AF166">
        <v>749.97</v>
      </c>
    </row>
    <row r="167" spans="1:32" ht="15.75" customHeight="1">
      <c r="A167" s="5" t="s">
        <v>320</v>
      </c>
      <c r="B167" s="6">
        <v>45641</v>
      </c>
      <c r="C167" s="5" t="s">
        <v>148</v>
      </c>
      <c r="D167" s="5" t="s">
        <v>149</v>
      </c>
      <c r="E167" s="5" t="s">
        <v>118</v>
      </c>
      <c r="F167" s="5" t="s">
        <v>20</v>
      </c>
      <c r="G167" s="5" t="s">
        <v>12</v>
      </c>
      <c r="H167" s="5">
        <v>2</v>
      </c>
      <c r="I167" s="5">
        <v>299.99</v>
      </c>
      <c r="J167" s="5" t="s">
        <v>47</v>
      </c>
      <c r="K167" s="5" t="s">
        <v>4</v>
      </c>
      <c r="L167" s="5" t="s">
        <v>29</v>
      </c>
      <c r="M167" s="6">
        <v>44724</v>
      </c>
      <c r="N167" s="5">
        <v>599.98</v>
      </c>
      <c r="S167" t="str">
        <v>TRX0242</v>
      </c>
      <c r="T167">
        <v>45416</v>
      </c>
      <c r="U167" t="str">
        <v>CUST025</v>
      </c>
      <c r="V167" t="str">
        <v>Mark Carter</v>
      </c>
      <c r="W167" t="str">
        <v>P007</v>
      </c>
      <c r="X167" t="str">
        <v>Desk</v>
      </c>
      <c r="Y167" t="str">
        <v>Furniture</v>
      </c>
      <c r="Z167">
        <v>4</v>
      </c>
      <c r="AA167">
        <v>299.99</v>
      </c>
      <c r="AB167" t="str">
        <v>Cash</v>
      </c>
      <c r="AC167" t="str">
        <v>West</v>
      </c>
      <c r="AD167" t="str">
        <v>Premium</v>
      </c>
      <c r="AE167">
        <v>44716</v>
      </c>
      <c r="AF167">
        <v>1199.96</v>
      </c>
    </row>
    <row r="168" spans="1:32" ht="15.75" customHeight="1">
      <c r="A168" s="5" t="s">
        <v>321</v>
      </c>
      <c r="B168" s="6">
        <v>45644</v>
      </c>
      <c r="C168" s="5" t="s">
        <v>142</v>
      </c>
      <c r="D168" s="5" t="s">
        <v>143</v>
      </c>
      <c r="E168" s="5" t="s">
        <v>55</v>
      </c>
      <c r="F168" s="5" t="s">
        <v>17</v>
      </c>
      <c r="G168" s="5" t="s">
        <v>10</v>
      </c>
      <c r="H168" s="5">
        <v>2</v>
      </c>
      <c r="I168" s="5">
        <v>59.99</v>
      </c>
      <c r="J168" s="5" t="s">
        <v>47</v>
      </c>
      <c r="K168" s="5" t="s">
        <v>7</v>
      </c>
      <c r="L168" s="5" t="s">
        <v>28</v>
      </c>
      <c r="M168" s="6">
        <v>45191</v>
      </c>
      <c r="N168" s="5">
        <v>119.98</v>
      </c>
      <c r="S168" t="str">
        <v>TRX0235</v>
      </c>
      <c r="T168">
        <v>45424</v>
      </c>
      <c r="U168" t="str">
        <v>CUST014</v>
      </c>
      <c r="V168" t="str">
        <v>Linda Martin</v>
      </c>
      <c r="W168" t="str">
        <v>P004</v>
      </c>
      <c r="X168" t="str">
        <v>Coffee Maker</v>
      </c>
      <c r="Y168" t="str">
        <v>Appliances</v>
      </c>
      <c r="Z168">
        <v>3</v>
      </c>
      <c r="AA168">
        <v>79.989999999999995</v>
      </c>
      <c r="AB168" t="str">
        <v>PayPal</v>
      </c>
      <c r="AC168" t="str">
        <v>East</v>
      </c>
      <c r="AD168" t="str">
        <v>Premium</v>
      </c>
      <c r="AE168">
        <v>45012</v>
      </c>
      <c r="AF168">
        <v>239.97</v>
      </c>
    </row>
    <row r="169" spans="1:32" ht="15.75" customHeight="1">
      <c r="A169" s="5" t="s">
        <v>322</v>
      </c>
      <c r="B169" s="6">
        <v>45645</v>
      </c>
      <c r="C169" s="5" t="s">
        <v>192</v>
      </c>
      <c r="D169" s="5" t="s">
        <v>193</v>
      </c>
      <c r="E169" s="5" t="s">
        <v>129</v>
      </c>
      <c r="F169" s="5" t="s">
        <v>22</v>
      </c>
      <c r="G169" s="5" t="s">
        <v>11</v>
      </c>
      <c r="H169" s="5">
        <v>1</v>
      </c>
      <c r="I169" s="5">
        <v>89.99</v>
      </c>
      <c r="J169" s="5" t="s">
        <v>72</v>
      </c>
      <c r="K169" s="5" t="s">
        <v>3</v>
      </c>
      <c r="L169" s="5" t="s">
        <v>30</v>
      </c>
      <c r="M169" s="6">
        <v>44760</v>
      </c>
      <c r="N169" s="5">
        <v>89.99</v>
      </c>
      <c r="S169" t="str">
        <v>TRX0004</v>
      </c>
      <c r="T169">
        <v>45424</v>
      </c>
      <c r="U169" t="str">
        <v>CUST012</v>
      </c>
      <c r="V169" t="str">
        <v>Patricia Moore</v>
      </c>
      <c r="W169" t="str">
        <v>P010</v>
      </c>
      <c r="X169" t="str">
        <v>Keyboard</v>
      </c>
      <c r="Y169" t="str">
        <v>Electronics</v>
      </c>
      <c r="Z169">
        <v>5</v>
      </c>
      <c r="AA169">
        <v>89.99</v>
      </c>
      <c r="AB169" t="str">
        <v>Cash</v>
      </c>
      <c r="AC169" t="str">
        <v>North</v>
      </c>
      <c r="AD169" t="str">
        <v>Premium</v>
      </c>
      <c r="AE169">
        <v>44919</v>
      </c>
      <c r="AF169">
        <v>449.95</v>
      </c>
    </row>
    <row r="170" spans="1:32" ht="15.75" customHeight="1">
      <c r="A170" s="5" t="s">
        <v>323</v>
      </c>
      <c r="B170" s="6">
        <v>45645</v>
      </c>
      <c r="C170" s="5" t="s">
        <v>157</v>
      </c>
      <c r="D170" s="5" t="s">
        <v>158</v>
      </c>
      <c r="E170" s="5" t="s">
        <v>76</v>
      </c>
      <c r="F170" s="5" t="s">
        <v>23</v>
      </c>
      <c r="G170" s="5" t="s">
        <v>11</v>
      </c>
      <c r="H170" s="5">
        <v>5</v>
      </c>
      <c r="I170" s="5">
        <v>899.99</v>
      </c>
      <c r="J170" s="5" t="s">
        <v>72</v>
      </c>
      <c r="K170" s="5" t="s">
        <v>4</v>
      </c>
      <c r="L170" s="5" t="s">
        <v>30</v>
      </c>
      <c r="M170" s="6">
        <v>44625</v>
      </c>
      <c r="N170" s="5">
        <v>4499.95</v>
      </c>
      <c r="S170" t="str">
        <v>TRX0130</v>
      </c>
      <c r="T170">
        <v>45430</v>
      </c>
      <c r="U170" t="str">
        <v>CUST002</v>
      </c>
      <c r="V170" t="str">
        <v>Emma Wilson</v>
      </c>
      <c r="W170" t="str">
        <v>P008</v>
      </c>
      <c r="X170" t="str">
        <v>Bookshelf</v>
      </c>
      <c r="Y170" t="str">
        <v>Furniture</v>
      </c>
      <c r="Z170">
        <v>3</v>
      </c>
      <c r="AA170">
        <v>149.99</v>
      </c>
      <c r="AB170" t="str">
        <v>Credit Card</v>
      </c>
      <c r="AC170" t="str">
        <v>West</v>
      </c>
      <c r="AD170" t="str">
        <v>Premium</v>
      </c>
      <c r="AE170">
        <v>45068</v>
      </c>
      <c r="AF170">
        <v>449.97</v>
      </c>
    </row>
    <row r="171" spans="1:32" ht="15.75" customHeight="1">
      <c r="A171" s="5" t="s">
        <v>324</v>
      </c>
      <c r="B171" s="6">
        <v>45646</v>
      </c>
      <c r="C171" s="5" t="s">
        <v>61</v>
      </c>
      <c r="D171" s="5" t="s">
        <v>62</v>
      </c>
      <c r="E171" s="5" t="s">
        <v>63</v>
      </c>
      <c r="F171" s="5" t="s">
        <v>18</v>
      </c>
      <c r="G171" s="5" t="s">
        <v>12</v>
      </c>
      <c r="H171" s="5">
        <v>2</v>
      </c>
      <c r="I171" s="5">
        <v>149.99</v>
      </c>
      <c r="J171" s="5" t="s">
        <v>47</v>
      </c>
      <c r="K171" s="5" t="s">
        <v>6</v>
      </c>
      <c r="L171" s="5" t="s">
        <v>28</v>
      </c>
      <c r="M171" s="6">
        <v>45239</v>
      </c>
      <c r="N171" s="5">
        <v>299.98</v>
      </c>
      <c r="S171" t="str">
        <v>TRX0041</v>
      </c>
      <c r="T171">
        <v>45432</v>
      </c>
      <c r="U171" t="str">
        <v>CUST021</v>
      </c>
      <c r="V171" t="str">
        <v>Kevin Scott</v>
      </c>
      <c r="W171" t="str">
        <v>P001</v>
      </c>
      <c r="X171" t="str">
        <v>Laptop</v>
      </c>
      <c r="Y171" t="str">
        <v>Electronics</v>
      </c>
      <c r="Z171">
        <v>1</v>
      </c>
      <c r="AA171">
        <v>899.99</v>
      </c>
      <c r="AB171" t="str">
        <v>Credit Card</v>
      </c>
      <c r="AC171" t="str">
        <v>West</v>
      </c>
      <c r="AD171" t="str">
        <v>Premium</v>
      </c>
      <c r="AE171">
        <v>44578</v>
      </c>
      <c r="AF171">
        <v>899.99</v>
      </c>
    </row>
    <row r="172" spans="1:32" ht="15.75" customHeight="1">
      <c r="A172" s="5" t="s">
        <v>325</v>
      </c>
      <c r="B172" s="6">
        <v>45648</v>
      </c>
      <c r="C172" s="5" t="s">
        <v>125</v>
      </c>
      <c r="D172" s="5" t="s">
        <v>126</v>
      </c>
      <c r="E172" s="5" t="s">
        <v>68</v>
      </c>
      <c r="F172" s="5" t="s">
        <v>21</v>
      </c>
      <c r="G172" s="5" t="s">
        <v>11</v>
      </c>
      <c r="H172" s="5">
        <v>2</v>
      </c>
      <c r="I172" s="5">
        <v>149.99</v>
      </c>
      <c r="J172" s="5" t="s">
        <v>72</v>
      </c>
      <c r="K172" s="5" t="s">
        <v>7</v>
      </c>
      <c r="L172" s="5" t="s">
        <v>29</v>
      </c>
      <c r="M172" s="6">
        <v>45280</v>
      </c>
      <c r="N172" s="5">
        <v>299.98</v>
      </c>
      <c r="S172" t="str">
        <v>TRX0245</v>
      </c>
      <c r="T172">
        <v>45438</v>
      </c>
      <c r="U172" t="str">
        <v>CUST031</v>
      </c>
      <c r="V172" t="str">
        <v>Steven Turner</v>
      </c>
      <c r="W172" t="str">
        <v>P006</v>
      </c>
      <c r="X172" t="str">
        <v>Office Chair</v>
      </c>
      <c r="Y172" t="str">
        <v>Furniture</v>
      </c>
      <c r="Z172">
        <v>3</v>
      </c>
      <c r="AA172">
        <v>199.99</v>
      </c>
      <c r="AB172" t="str">
        <v>Credit Card</v>
      </c>
      <c r="AC172" t="str">
        <v>North</v>
      </c>
      <c r="AD172" t="str">
        <v>Premium</v>
      </c>
      <c r="AE172">
        <v>45292</v>
      </c>
      <c r="AF172">
        <v>599.97</v>
      </c>
    </row>
    <row r="173" spans="1:32" ht="15.75" customHeight="1">
      <c r="A173" s="5" t="s">
        <v>326</v>
      </c>
      <c r="B173" s="6">
        <v>45648</v>
      </c>
      <c r="C173" s="5" t="s">
        <v>192</v>
      </c>
      <c r="D173" s="5" t="s">
        <v>193</v>
      </c>
      <c r="E173" s="5" t="s">
        <v>63</v>
      </c>
      <c r="F173" s="5" t="s">
        <v>18</v>
      </c>
      <c r="G173" s="5" t="s">
        <v>12</v>
      </c>
      <c r="H173" s="5">
        <v>3</v>
      </c>
      <c r="I173" s="5">
        <v>149.99</v>
      </c>
      <c r="J173" s="5" t="s">
        <v>72</v>
      </c>
      <c r="K173" s="5" t="s">
        <v>5</v>
      </c>
      <c r="L173" s="5" t="s">
        <v>30</v>
      </c>
      <c r="M173" s="6">
        <v>44522</v>
      </c>
      <c r="N173" s="5">
        <v>449.97</v>
      </c>
      <c r="S173" t="str">
        <v>TRX0202</v>
      </c>
      <c r="T173">
        <v>45441</v>
      </c>
      <c r="U173" t="str">
        <v>CUST035</v>
      </c>
      <c r="V173" t="str">
        <v>Harry Morgan</v>
      </c>
      <c r="W173" t="str">
        <v>P010</v>
      </c>
      <c r="X173" t="str">
        <v>Keyboard</v>
      </c>
      <c r="Y173" t="str">
        <v>Electronics</v>
      </c>
      <c r="Z173">
        <v>3</v>
      </c>
      <c r="AA173">
        <v>89.99</v>
      </c>
      <c r="AB173" t="str">
        <v>PayPal</v>
      </c>
      <c r="AC173" t="str">
        <v>Central</v>
      </c>
      <c r="AD173" t="str">
        <v>Premium</v>
      </c>
      <c r="AE173">
        <v>45120</v>
      </c>
      <c r="AF173">
        <v>269.97000000000003</v>
      </c>
    </row>
    <row r="174" spans="1:32" ht="15.75" customHeight="1">
      <c r="A174" s="5" t="s">
        <v>327</v>
      </c>
      <c r="B174" s="6">
        <v>45649</v>
      </c>
      <c r="C174" s="5" t="s">
        <v>53</v>
      </c>
      <c r="D174" s="5" t="s">
        <v>54</v>
      </c>
      <c r="E174" s="5" t="s">
        <v>118</v>
      </c>
      <c r="F174" s="5" t="s">
        <v>20</v>
      </c>
      <c r="G174" s="5" t="s">
        <v>12</v>
      </c>
      <c r="H174" s="5">
        <v>2</v>
      </c>
      <c r="I174" s="5">
        <v>299.99</v>
      </c>
      <c r="J174" s="5" t="s">
        <v>56</v>
      </c>
      <c r="K174" s="5" t="s">
        <v>6</v>
      </c>
      <c r="L174" s="5" t="s">
        <v>28</v>
      </c>
      <c r="M174" s="6">
        <v>44721</v>
      </c>
      <c r="N174" s="5">
        <v>599.98</v>
      </c>
      <c r="S174" t="str">
        <v>TRX0220</v>
      </c>
      <c r="T174">
        <v>45450</v>
      </c>
      <c r="U174" t="str">
        <v>CUST003</v>
      </c>
      <c r="V174" t="str">
        <v>Michael Brown</v>
      </c>
      <c r="W174" t="str">
        <v>P008</v>
      </c>
      <c r="X174" t="str">
        <v>Bookshelf</v>
      </c>
      <c r="Y174" t="str">
        <v>Furniture</v>
      </c>
      <c r="Z174">
        <v>2</v>
      </c>
      <c r="AA174">
        <v>149.99</v>
      </c>
      <c r="AB174" t="str">
        <v>Cash</v>
      </c>
      <c r="AC174" t="str">
        <v>East</v>
      </c>
      <c r="AD174" t="str">
        <v>Premium</v>
      </c>
      <c r="AE174">
        <v>44645</v>
      </c>
      <c r="AF174">
        <v>299.98</v>
      </c>
    </row>
    <row r="175" spans="1:32" ht="15.75" customHeight="1">
      <c r="A175" s="5" t="s">
        <v>328</v>
      </c>
      <c r="B175" s="6">
        <v>45654</v>
      </c>
      <c r="C175" s="5" t="s">
        <v>61</v>
      </c>
      <c r="D175" s="5" t="s">
        <v>62</v>
      </c>
      <c r="E175" s="5" t="s">
        <v>118</v>
      </c>
      <c r="F175" s="5" t="s">
        <v>20</v>
      </c>
      <c r="G175" s="5" t="s">
        <v>12</v>
      </c>
      <c r="H175" s="5">
        <v>2</v>
      </c>
      <c r="I175" s="5">
        <v>299.99</v>
      </c>
      <c r="J175" s="5" t="s">
        <v>47</v>
      </c>
      <c r="K175" s="5" t="s">
        <v>7</v>
      </c>
      <c r="L175" s="5" t="s">
        <v>28</v>
      </c>
      <c r="M175" s="6">
        <v>44771</v>
      </c>
      <c r="N175" s="5">
        <v>599.98</v>
      </c>
      <c r="S175" t="str">
        <v>TRX0088</v>
      </c>
      <c r="T175">
        <v>45456</v>
      </c>
      <c r="U175" t="str">
        <v>CUST006</v>
      </c>
      <c r="V175" t="str">
        <v>Lisa Anderson</v>
      </c>
      <c r="W175" t="str">
        <v>P010</v>
      </c>
      <c r="X175" t="str">
        <v>Keyboard</v>
      </c>
      <c r="Y175" t="str">
        <v>Electronics</v>
      </c>
      <c r="Z175">
        <v>5</v>
      </c>
      <c r="AA175">
        <v>89.99</v>
      </c>
      <c r="AB175" t="str">
        <v>Cash</v>
      </c>
      <c r="AC175" t="str">
        <v>Central</v>
      </c>
      <c r="AD175" t="str">
        <v>Premium</v>
      </c>
      <c r="AE175">
        <v>44579</v>
      </c>
      <c r="AF175">
        <v>449.95</v>
      </c>
    </row>
    <row r="176" spans="1:32" ht="15.75" customHeight="1">
      <c r="A176" s="5" t="s">
        <v>329</v>
      </c>
      <c r="B176" s="6">
        <v>45654</v>
      </c>
      <c r="C176" s="5" t="s">
        <v>131</v>
      </c>
      <c r="D176" s="5" t="s">
        <v>132</v>
      </c>
      <c r="E176" s="5" t="s">
        <v>137</v>
      </c>
      <c r="F176" s="5" t="s">
        <v>25</v>
      </c>
      <c r="G176" s="5" t="s">
        <v>12</v>
      </c>
      <c r="H176" s="5">
        <v>4</v>
      </c>
      <c r="I176" s="5">
        <v>199.99</v>
      </c>
      <c r="J176" s="5" t="s">
        <v>51</v>
      </c>
      <c r="K176" s="5" t="s">
        <v>3</v>
      </c>
      <c r="L176" s="5" t="s">
        <v>28</v>
      </c>
      <c r="M176" s="6">
        <v>44523</v>
      </c>
      <c r="N176" s="5">
        <v>799.96</v>
      </c>
      <c r="S176" t="str">
        <v>TRX0115</v>
      </c>
      <c r="T176">
        <v>45459</v>
      </c>
      <c r="U176" t="str">
        <v>CUST012</v>
      </c>
      <c r="V176" t="str">
        <v>Patricia Moore</v>
      </c>
      <c r="W176" t="str">
        <v>P010</v>
      </c>
      <c r="X176" t="str">
        <v>Keyboard</v>
      </c>
      <c r="Y176" t="str">
        <v>Electronics</v>
      </c>
      <c r="Z176">
        <v>2</v>
      </c>
      <c r="AA176">
        <v>89.99</v>
      </c>
      <c r="AB176" t="str">
        <v>Credit Card</v>
      </c>
      <c r="AC176" t="str">
        <v>South</v>
      </c>
      <c r="AD176" t="str">
        <v>Premium</v>
      </c>
      <c r="AE176">
        <v>44471</v>
      </c>
      <c r="AF176">
        <v>179.98</v>
      </c>
    </row>
    <row r="177" spans="1:32" ht="15.75" customHeight="1">
      <c r="A177" s="5" t="s">
        <v>330</v>
      </c>
      <c r="B177" s="6">
        <v>45655</v>
      </c>
      <c r="C177" s="5" t="s">
        <v>74</v>
      </c>
      <c r="D177" s="5" t="s">
        <v>75</v>
      </c>
      <c r="E177" s="5" t="s">
        <v>129</v>
      </c>
      <c r="F177" s="5" t="s">
        <v>22</v>
      </c>
      <c r="G177" s="5" t="s">
        <v>11</v>
      </c>
      <c r="H177" s="5">
        <v>1</v>
      </c>
      <c r="I177" s="5">
        <v>89.99</v>
      </c>
      <c r="J177" s="5" t="s">
        <v>51</v>
      </c>
      <c r="K177" s="5" t="s">
        <v>6</v>
      </c>
      <c r="L177" s="5" t="s">
        <v>29</v>
      </c>
      <c r="M177" s="6">
        <v>44591</v>
      </c>
      <c r="N177" s="5">
        <v>89.99</v>
      </c>
      <c r="S177" t="str">
        <v>TRX0044</v>
      </c>
      <c r="T177">
        <v>45459</v>
      </c>
      <c r="U177" t="str">
        <v>CUST029</v>
      </c>
      <c r="V177" t="str">
        <v>Edward Mitchell</v>
      </c>
      <c r="W177" t="str">
        <v>P001</v>
      </c>
      <c r="X177" t="str">
        <v>Laptop</v>
      </c>
      <c r="Y177" t="str">
        <v>Electronics</v>
      </c>
      <c r="Z177">
        <v>5</v>
      </c>
      <c r="AA177">
        <v>899.99</v>
      </c>
      <c r="AB177" t="str">
        <v>PayPal</v>
      </c>
      <c r="AC177" t="str">
        <v>East</v>
      </c>
      <c r="AD177" t="str">
        <v>Premium</v>
      </c>
      <c r="AE177">
        <v>45278</v>
      </c>
      <c r="AF177">
        <v>4499.95</v>
      </c>
    </row>
    <row r="178" spans="1:32" ht="15.75" customHeight="1">
      <c r="A178" s="5" t="s">
        <v>331</v>
      </c>
      <c r="B178" s="6">
        <v>45655</v>
      </c>
      <c r="C178" s="5" t="s">
        <v>120</v>
      </c>
      <c r="D178" s="5" t="s">
        <v>121</v>
      </c>
      <c r="E178" s="5" t="s">
        <v>63</v>
      </c>
      <c r="F178" s="5" t="s">
        <v>18</v>
      </c>
      <c r="G178" s="5" t="s">
        <v>12</v>
      </c>
      <c r="H178" s="5">
        <v>5</v>
      </c>
      <c r="I178" s="5">
        <v>149.99</v>
      </c>
      <c r="J178" s="5" t="s">
        <v>47</v>
      </c>
      <c r="K178" s="5" t="s">
        <v>3</v>
      </c>
      <c r="L178" s="5" t="s">
        <v>29</v>
      </c>
      <c r="M178" s="6">
        <v>45347</v>
      </c>
      <c r="N178" s="5">
        <v>749.95</v>
      </c>
      <c r="S178" t="str">
        <v>TRX0061</v>
      </c>
      <c r="T178">
        <v>45460</v>
      </c>
      <c r="U178" t="str">
        <v>CUST028</v>
      </c>
      <c r="V178" t="str">
        <v>Betty Campbell</v>
      </c>
      <c r="W178" t="str">
        <v>P005</v>
      </c>
      <c r="X178" t="str">
        <v>Blender</v>
      </c>
      <c r="Y178" t="str">
        <v>Appliances</v>
      </c>
      <c r="Z178">
        <v>1</v>
      </c>
      <c r="AA178">
        <v>59.99</v>
      </c>
      <c r="AB178" t="str">
        <v>Debit Card</v>
      </c>
      <c r="AC178" t="str">
        <v>West</v>
      </c>
      <c r="AD178" t="str">
        <v>Premium</v>
      </c>
      <c r="AE178">
        <v>45190</v>
      </c>
      <c r="AF178">
        <v>59.99</v>
      </c>
    </row>
    <row r="179" spans="1:32" ht="15.75" customHeight="1">
      <c r="A179" s="5" t="s">
        <v>332</v>
      </c>
      <c r="B179" s="6">
        <v>45657</v>
      </c>
      <c r="C179" s="5" t="s">
        <v>99</v>
      </c>
      <c r="D179" s="5" t="s">
        <v>100</v>
      </c>
      <c r="E179" s="5" t="s">
        <v>76</v>
      </c>
      <c r="F179" s="5" t="s">
        <v>23</v>
      </c>
      <c r="G179" s="5" t="s">
        <v>11</v>
      </c>
      <c r="H179" s="5">
        <v>1</v>
      </c>
      <c r="I179" s="5">
        <v>899.99</v>
      </c>
      <c r="J179" s="5" t="s">
        <v>56</v>
      </c>
      <c r="K179" s="5" t="s">
        <v>5</v>
      </c>
      <c r="L179" s="5" t="s">
        <v>29</v>
      </c>
      <c r="M179" s="6">
        <v>45050</v>
      </c>
      <c r="N179" s="5">
        <v>899.99</v>
      </c>
      <c r="S179" t="str">
        <v>TRX0078</v>
      </c>
      <c r="T179">
        <v>45469</v>
      </c>
      <c r="U179" t="str">
        <v>CUST021</v>
      </c>
      <c r="V179" t="str">
        <v>Kevin Scott</v>
      </c>
      <c r="W179" t="str">
        <v>P004</v>
      </c>
      <c r="X179" t="str">
        <v>Coffee Maker</v>
      </c>
      <c r="Y179" t="str">
        <v>Appliances</v>
      </c>
      <c r="Z179">
        <v>1</v>
      </c>
      <c r="AA179">
        <v>79.989999999999995</v>
      </c>
      <c r="AB179" t="str">
        <v>PayPal</v>
      </c>
      <c r="AC179" t="str">
        <v>Central</v>
      </c>
      <c r="AD179" t="str">
        <v>Premium</v>
      </c>
      <c r="AE179">
        <v>45352</v>
      </c>
      <c r="AF179">
        <v>79.989999999999995</v>
      </c>
    </row>
    <row r="180" spans="1:32" ht="15.75" customHeight="1">
      <c r="A180" s="5" t="s">
        <v>333</v>
      </c>
      <c r="B180" s="6">
        <v>45660</v>
      </c>
      <c r="C180" s="5" t="s">
        <v>157</v>
      </c>
      <c r="D180" s="5" t="s">
        <v>158</v>
      </c>
      <c r="E180" s="5" t="s">
        <v>129</v>
      </c>
      <c r="F180" s="5" t="s">
        <v>22</v>
      </c>
      <c r="G180" s="5" t="s">
        <v>11</v>
      </c>
      <c r="H180" s="5">
        <v>2</v>
      </c>
      <c r="I180" s="5">
        <v>89.99</v>
      </c>
      <c r="J180" s="5" t="s">
        <v>51</v>
      </c>
      <c r="K180" s="5" t="s">
        <v>6</v>
      </c>
      <c r="L180" s="5" t="s">
        <v>29</v>
      </c>
      <c r="M180" s="6">
        <v>44564</v>
      </c>
      <c r="N180" s="5">
        <v>179.98</v>
      </c>
      <c r="S180" t="str">
        <v>TRX0184</v>
      </c>
      <c r="T180">
        <v>45471</v>
      </c>
      <c r="U180" t="str">
        <v>CUST046</v>
      </c>
      <c r="V180" t="str">
        <v>Kathleen Bennett</v>
      </c>
      <c r="W180" t="str">
        <v>P002</v>
      </c>
      <c r="X180" t="str">
        <v>Smartphone</v>
      </c>
      <c r="Y180" t="str">
        <v>Electronics</v>
      </c>
      <c r="Z180">
        <v>3</v>
      </c>
      <c r="AA180">
        <v>699.99</v>
      </c>
      <c r="AB180" t="str">
        <v>Credit Card</v>
      </c>
      <c r="AC180" t="str">
        <v>East</v>
      </c>
      <c r="AD180" t="str">
        <v>Premium</v>
      </c>
      <c r="AE180">
        <v>45102</v>
      </c>
      <c r="AF180">
        <v>2099.9699999999998</v>
      </c>
    </row>
    <row r="181" spans="1:32" ht="15.75" customHeight="1">
      <c r="A181" s="5" t="s">
        <v>334</v>
      </c>
      <c r="B181" s="6">
        <v>45661</v>
      </c>
      <c r="C181" s="5" t="s">
        <v>335</v>
      </c>
      <c r="D181" s="5" t="s">
        <v>336</v>
      </c>
      <c r="E181" s="5" t="s">
        <v>76</v>
      </c>
      <c r="F181" s="5" t="s">
        <v>23</v>
      </c>
      <c r="G181" s="5" t="s">
        <v>11</v>
      </c>
      <c r="H181" s="5">
        <v>1</v>
      </c>
      <c r="I181" s="5">
        <v>899.99</v>
      </c>
      <c r="J181" s="5" t="s">
        <v>56</v>
      </c>
      <c r="K181" s="5" t="s">
        <v>5</v>
      </c>
      <c r="L181" s="5" t="s">
        <v>30</v>
      </c>
      <c r="M181" s="6">
        <v>44752</v>
      </c>
      <c r="N181" s="5">
        <v>899.99</v>
      </c>
      <c r="S181" t="str">
        <v>TRX0104</v>
      </c>
      <c r="T181">
        <v>45471</v>
      </c>
      <c r="U181" t="str">
        <v>CUST012</v>
      </c>
      <c r="V181" t="str">
        <v>Patricia Moore</v>
      </c>
      <c r="W181" t="str">
        <v>P001</v>
      </c>
      <c r="X181" t="str">
        <v>Laptop</v>
      </c>
      <c r="Y181" t="str">
        <v>Electronics</v>
      </c>
      <c r="Z181">
        <v>4</v>
      </c>
      <c r="AA181">
        <v>899.99</v>
      </c>
      <c r="AB181" t="str">
        <v>Credit Card</v>
      </c>
      <c r="AC181" t="str">
        <v>East</v>
      </c>
      <c r="AD181" t="str">
        <v>Premium</v>
      </c>
      <c r="AE181">
        <v>44993</v>
      </c>
      <c r="AF181">
        <v>3599.96</v>
      </c>
    </row>
    <row r="182" spans="1:32" ht="15.75" customHeight="1">
      <c r="A182" s="5" t="s">
        <v>337</v>
      </c>
      <c r="B182" s="6">
        <v>45663</v>
      </c>
      <c r="C182" s="5" t="s">
        <v>139</v>
      </c>
      <c r="D182" s="5" t="s">
        <v>140</v>
      </c>
      <c r="E182" s="5" t="s">
        <v>68</v>
      </c>
      <c r="F182" s="5" t="s">
        <v>21</v>
      </c>
      <c r="G182" s="5" t="s">
        <v>11</v>
      </c>
      <c r="H182" s="5">
        <v>5</v>
      </c>
      <c r="I182" s="5">
        <v>149.99</v>
      </c>
      <c r="J182" s="5" t="s">
        <v>56</v>
      </c>
      <c r="K182" s="5" t="s">
        <v>4</v>
      </c>
      <c r="L182" s="5" t="s">
        <v>29</v>
      </c>
      <c r="M182" s="6">
        <v>44824</v>
      </c>
      <c r="N182" s="5">
        <v>749.95</v>
      </c>
      <c r="S182" t="str">
        <v>TRX0096</v>
      </c>
      <c r="T182">
        <v>45474</v>
      </c>
      <c r="U182" t="str">
        <v>CUST002</v>
      </c>
      <c r="V182" t="str">
        <v>Emma Wilson</v>
      </c>
      <c r="W182" t="str">
        <v>P010</v>
      </c>
      <c r="X182" t="str">
        <v>Keyboard</v>
      </c>
      <c r="Y182" t="str">
        <v>Electronics</v>
      </c>
      <c r="Z182">
        <v>2</v>
      </c>
      <c r="AA182">
        <v>89.99</v>
      </c>
      <c r="AB182" t="str">
        <v>PayPal</v>
      </c>
      <c r="AC182" t="str">
        <v>Central</v>
      </c>
      <c r="AD182" t="str">
        <v>Premium</v>
      </c>
      <c r="AE182">
        <v>45275</v>
      </c>
      <c r="AF182">
        <v>179.98</v>
      </c>
    </row>
    <row r="183" spans="1:32" ht="15.75" customHeight="1">
      <c r="A183" s="5" t="s">
        <v>338</v>
      </c>
      <c r="B183" s="6">
        <v>45663</v>
      </c>
      <c r="C183" s="5" t="s">
        <v>61</v>
      </c>
      <c r="D183" s="5" t="s">
        <v>62</v>
      </c>
      <c r="E183" s="5" t="s">
        <v>118</v>
      </c>
      <c r="F183" s="5" t="s">
        <v>20</v>
      </c>
      <c r="G183" s="5" t="s">
        <v>12</v>
      </c>
      <c r="H183" s="5">
        <v>3</v>
      </c>
      <c r="I183" s="5">
        <v>299.99</v>
      </c>
      <c r="J183" s="5" t="s">
        <v>47</v>
      </c>
      <c r="K183" s="5" t="s">
        <v>6</v>
      </c>
      <c r="L183" s="5" t="s">
        <v>30</v>
      </c>
      <c r="M183" s="6">
        <v>44422</v>
      </c>
      <c r="N183" s="5">
        <v>899.97</v>
      </c>
      <c r="S183" t="str">
        <v>TRX0113</v>
      </c>
      <c r="T183">
        <v>45481</v>
      </c>
      <c r="U183" t="str">
        <v>CUST003</v>
      </c>
      <c r="V183" t="str">
        <v>Michael Brown</v>
      </c>
      <c r="W183" t="str">
        <v>P002</v>
      </c>
      <c r="X183" t="str">
        <v>Smartphone</v>
      </c>
      <c r="Y183" t="str">
        <v>Electronics</v>
      </c>
      <c r="Z183">
        <v>2</v>
      </c>
      <c r="AA183">
        <v>699.99</v>
      </c>
      <c r="AB183" t="str">
        <v>PayPal</v>
      </c>
      <c r="AC183" t="str">
        <v>East</v>
      </c>
      <c r="AD183" t="str">
        <v>Premium</v>
      </c>
      <c r="AE183">
        <v>45389</v>
      </c>
      <c r="AF183">
        <v>1399.98</v>
      </c>
    </row>
    <row r="184" spans="1:32" ht="15.75" customHeight="1">
      <c r="A184" s="5" t="s">
        <v>339</v>
      </c>
      <c r="B184" s="6">
        <v>45666</v>
      </c>
      <c r="C184" s="5" t="s">
        <v>78</v>
      </c>
      <c r="D184" s="5" t="s">
        <v>79</v>
      </c>
      <c r="E184" s="5" t="s">
        <v>94</v>
      </c>
      <c r="F184" s="5" t="s">
        <v>26</v>
      </c>
      <c r="G184" s="5" t="s">
        <v>11</v>
      </c>
      <c r="H184" s="5">
        <v>3</v>
      </c>
      <c r="I184" s="5">
        <v>699.99</v>
      </c>
      <c r="J184" s="5" t="s">
        <v>51</v>
      </c>
      <c r="K184" s="5" t="s">
        <v>3</v>
      </c>
      <c r="L184" s="5" t="s">
        <v>29</v>
      </c>
      <c r="M184" s="6">
        <v>45105</v>
      </c>
      <c r="N184" s="5">
        <v>2099.9699999999998</v>
      </c>
      <c r="S184" t="str">
        <v>TRX0114</v>
      </c>
      <c r="T184">
        <v>45481</v>
      </c>
      <c r="U184" t="str">
        <v>CUST018</v>
      </c>
      <c r="V184" t="str">
        <v>Barbara Young</v>
      </c>
      <c r="W184" t="str">
        <v>P010</v>
      </c>
      <c r="X184" t="str">
        <v>Keyboard</v>
      </c>
      <c r="Y184" t="str">
        <v>Electronics</v>
      </c>
      <c r="Z184">
        <v>5</v>
      </c>
      <c r="AA184">
        <v>89.99</v>
      </c>
      <c r="AB184" t="str">
        <v>Debit Card</v>
      </c>
      <c r="AC184" t="str">
        <v>North</v>
      </c>
      <c r="AD184" t="str">
        <v>Premium</v>
      </c>
      <c r="AE184">
        <v>45161</v>
      </c>
      <c r="AF184">
        <v>449.95</v>
      </c>
    </row>
    <row r="185" spans="1:32" ht="15.75" customHeight="1">
      <c r="A185" s="5" t="s">
        <v>340</v>
      </c>
      <c r="B185" s="6">
        <v>45667</v>
      </c>
      <c r="C185" s="5" t="s">
        <v>120</v>
      </c>
      <c r="D185" s="5" t="s">
        <v>121</v>
      </c>
      <c r="E185" s="5" t="s">
        <v>137</v>
      </c>
      <c r="F185" s="5" t="s">
        <v>25</v>
      </c>
      <c r="G185" s="5" t="s">
        <v>12</v>
      </c>
      <c r="H185" s="5">
        <v>5</v>
      </c>
      <c r="I185" s="5">
        <v>199.99</v>
      </c>
      <c r="J185" s="5" t="s">
        <v>56</v>
      </c>
      <c r="K185" s="5" t="s">
        <v>3</v>
      </c>
      <c r="L185" s="5" t="s">
        <v>30</v>
      </c>
      <c r="M185" s="6">
        <v>44633</v>
      </c>
      <c r="N185" s="5">
        <v>999.95</v>
      </c>
      <c r="S185" t="str">
        <v>TRX0141</v>
      </c>
      <c r="T185">
        <v>45484</v>
      </c>
      <c r="U185" t="str">
        <v>CUST033</v>
      </c>
      <c r="V185" t="str">
        <v>Frank Torres</v>
      </c>
      <c r="W185" t="str">
        <v>P007</v>
      </c>
      <c r="X185" t="str">
        <v>Desk</v>
      </c>
      <c r="Y185" t="str">
        <v>Furniture</v>
      </c>
      <c r="Z185">
        <v>1</v>
      </c>
      <c r="AA185">
        <v>299.99</v>
      </c>
      <c r="AB185" t="str">
        <v>Credit Card</v>
      </c>
      <c r="AC185" t="str">
        <v>North</v>
      </c>
      <c r="AD185" t="str">
        <v>Premium</v>
      </c>
      <c r="AE185">
        <v>44891</v>
      </c>
      <c r="AF185">
        <v>299.99</v>
      </c>
    </row>
    <row r="186" spans="1:32" ht="15.75" customHeight="1">
      <c r="A186" s="5" t="s">
        <v>341</v>
      </c>
      <c r="B186" s="6">
        <v>45667</v>
      </c>
      <c r="C186" s="5" t="s">
        <v>106</v>
      </c>
      <c r="D186" s="5" t="s">
        <v>107</v>
      </c>
      <c r="E186" s="5" t="s">
        <v>46</v>
      </c>
      <c r="F186" s="5" t="s">
        <v>24</v>
      </c>
      <c r="G186" s="5" t="s">
        <v>11</v>
      </c>
      <c r="H186" s="5">
        <v>5</v>
      </c>
      <c r="I186" s="5">
        <v>249.99</v>
      </c>
      <c r="J186" s="5" t="s">
        <v>51</v>
      </c>
      <c r="K186" s="5" t="s">
        <v>6</v>
      </c>
      <c r="L186" s="5" t="s">
        <v>28</v>
      </c>
      <c r="M186" s="6">
        <v>45330</v>
      </c>
      <c r="N186" s="5">
        <v>1249.95</v>
      </c>
      <c r="S186" t="str">
        <v>TRX0216</v>
      </c>
      <c r="T186">
        <v>45490</v>
      </c>
      <c r="U186" t="str">
        <v>CUST041</v>
      </c>
      <c r="V186" t="str">
        <v>Peter Richardson</v>
      </c>
      <c r="W186" t="str">
        <v>P008</v>
      </c>
      <c r="X186" t="str">
        <v>Bookshelf</v>
      </c>
      <c r="Y186" t="str">
        <v>Furniture</v>
      </c>
      <c r="Z186">
        <v>3</v>
      </c>
      <c r="AA186">
        <v>149.99</v>
      </c>
      <c r="AB186" t="str">
        <v>Cash</v>
      </c>
      <c r="AC186" t="str">
        <v>Central</v>
      </c>
      <c r="AD186" t="str">
        <v>Premium</v>
      </c>
      <c r="AE186">
        <v>45199</v>
      </c>
      <c r="AF186">
        <v>449.97</v>
      </c>
    </row>
    <row r="187" spans="1:32" ht="15.75" customHeight="1">
      <c r="A187" s="5" t="s">
        <v>342</v>
      </c>
      <c r="B187" s="6">
        <v>45668</v>
      </c>
      <c r="C187" s="5" t="s">
        <v>148</v>
      </c>
      <c r="D187" s="5" t="s">
        <v>149</v>
      </c>
      <c r="E187" s="5" t="s">
        <v>68</v>
      </c>
      <c r="F187" s="5" t="s">
        <v>21</v>
      </c>
      <c r="G187" s="5" t="s">
        <v>11</v>
      </c>
      <c r="H187" s="5">
        <v>4</v>
      </c>
      <c r="I187" s="5">
        <v>149.99</v>
      </c>
      <c r="J187" s="5" t="s">
        <v>72</v>
      </c>
      <c r="K187" s="5" t="s">
        <v>4</v>
      </c>
      <c r="L187" s="5" t="s">
        <v>30</v>
      </c>
      <c r="M187" s="6">
        <v>44536</v>
      </c>
      <c r="N187" s="5">
        <v>599.96</v>
      </c>
      <c r="S187" t="str">
        <v>TRX0131</v>
      </c>
      <c r="T187">
        <v>45491</v>
      </c>
      <c r="U187" t="str">
        <v>CUST026</v>
      </c>
      <c r="V187" t="str">
        <v>Karen Hill</v>
      </c>
      <c r="W187" t="str">
        <v>P006</v>
      </c>
      <c r="X187" t="str">
        <v>Office Chair</v>
      </c>
      <c r="Y187" t="str">
        <v>Furniture</v>
      </c>
      <c r="Z187">
        <v>3</v>
      </c>
      <c r="AA187">
        <v>199.99</v>
      </c>
      <c r="AB187" t="str">
        <v>Cash</v>
      </c>
      <c r="AC187" t="str">
        <v>North</v>
      </c>
      <c r="AD187" t="str">
        <v>Premium</v>
      </c>
      <c r="AE187">
        <v>45254</v>
      </c>
      <c r="AF187">
        <v>599.97</v>
      </c>
    </row>
    <row r="188" spans="1:32" ht="15.75" customHeight="1">
      <c r="A188" s="5" t="s">
        <v>343</v>
      </c>
      <c r="B188" s="6">
        <v>45668</v>
      </c>
      <c r="C188" s="5" t="s">
        <v>92</v>
      </c>
      <c r="D188" s="5" t="s">
        <v>93</v>
      </c>
      <c r="E188" s="5" t="s">
        <v>94</v>
      </c>
      <c r="F188" s="5" t="s">
        <v>26</v>
      </c>
      <c r="G188" s="5" t="s">
        <v>11</v>
      </c>
      <c r="H188" s="5">
        <v>3</v>
      </c>
      <c r="I188" s="5">
        <v>699.99</v>
      </c>
      <c r="J188" s="5" t="s">
        <v>47</v>
      </c>
      <c r="K188" s="5" t="s">
        <v>5</v>
      </c>
      <c r="L188" s="5" t="s">
        <v>29</v>
      </c>
      <c r="M188" s="6">
        <v>44602</v>
      </c>
      <c r="N188" s="5">
        <v>2099.9699999999998</v>
      </c>
      <c r="S188" t="str">
        <v>TRX0080</v>
      </c>
      <c r="T188">
        <v>45500</v>
      </c>
      <c r="U188" t="str">
        <v>CUST018</v>
      </c>
      <c r="V188" t="str">
        <v>Barbara Young</v>
      </c>
      <c r="W188" t="str">
        <v>P009</v>
      </c>
      <c r="X188" t="str">
        <v>Monitor</v>
      </c>
      <c r="Y188" t="str">
        <v>Electronics</v>
      </c>
      <c r="Z188">
        <v>2</v>
      </c>
      <c r="AA188">
        <v>249.99</v>
      </c>
      <c r="AB188" t="str">
        <v>Cash</v>
      </c>
      <c r="AC188" t="str">
        <v>North</v>
      </c>
      <c r="AD188" t="str">
        <v>Premium</v>
      </c>
      <c r="AE188">
        <v>45164</v>
      </c>
      <c r="AF188">
        <v>499.98</v>
      </c>
    </row>
    <row r="189" spans="1:32" ht="15.75" customHeight="1">
      <c r="A189" s="5" t="s">
        <v>344</v>
      </c>
      <c r="B189" s="6">
        <v>45670</v>
      </c>
      <c r="C189" s="5" t="s">
        <v>303</v>
      </c>
      <c r="D189" s="5" t="s">
        <v>304</v>
      </c>
      <c r="E189" s="5" t="s">
        <v>127</v>
      </c>
      <c r="F189" s="5" t="s">
        <v>19</v>
      </c>
      <c r="G189" s="5" t="s">
        <v>10</v>
      </c>
      <c r="H189" s="5">
        <v>1</v>
      </c>
      <c r="I189" s="5">
        <v>79.989999999999995</v>
      </c>
      <c r="J189" s="5" t="s">
        <v>51</v>
      </c>
      <c r="K189" s="5" t="s">
        <v>6</v>
      </c>
      <c r="L189" s="5" t="s">
        <v>28</v>
      </c>
      <c r="M189" s="6">
        <v>45322</v>
      </c>
      <c r="N189" s="5">
        <v>79.989999999999995</v>
      </c>
      <c r="S189" t="str">
        <v>TRX0217</v>
      </c>
      <c r="T189">
        <v>45503</v>
      </c>
      <c r="U189" t="str">
        <v>CUST025</v>
      </c>
      <c r="V189" t="str">
        <v>Mark Carter</v>
      </c>
      <c r="W189" t="str">
        <v>P002</v>
      </c>
      <c r="X189" t="str">
        <v>Smartphone</v>
      </c>
      <c r="Y189" t="str">
        <v>Electronics</v>
      </c>
      <c r="Z189">
        <v>2</v>
      </c>
      <c r="AA189">
        <v>699.99</v>
      </c>
      <c r="AB189" t="str">
        <v>Credit Card</v>
      </c>
      <c r="AC189" t="str">
        <v>North</v>
      </c>
      <c r="AD189" t="str">
        <v>Premium</v>
      </c>
      <c r="AE189">
        <v>44999</v>
      </c>
      <c r="AF189">
        <v>1399.98</v>
      </c>
    </row>
    <row r="190" spans="1:32" ht="15.75" customHeight="1">
      <c r="A190" s="5" t="s">
        <v>345</v>
      </c>
      <c r="B190" s="6">
        <v>45670</v>
      </c>
      <c r="C190" s="5" t="s">
        <v>99</v>
      </c>
      <c r="D190" s="5" t="s">
        <v>100</v>
      </c>
      <c r="E190" s="5" t="s">
        <v>118</v>
      </c>
      <c r="F190" s="5" t="s">
        <v>20</v>
      </c>
      <c r="G190" s="5" t="s">
        <v>12</v>
      </c>
      <c r="H190" s="5">
        <v>1</v>
      </c>
      <c r="I190" s="5">
        <v>299.99</v>
      </c>
      <c r="J190" s="5" t="s">
        <v>51</v>
      </c>
      <c r="K190" s="5" t="s">
        <v>5</v>
      </c>
      <c r="L190" s="5" t="s">
        <v>28</v>
      </c>
      <c r="M190" s="6">
        <v>44436</v>
      </c>
      <c r="N190" s="5">
        <v>299.99</v>
      </c>
      <c r="S190" t="str">
        <v>TRX0020</v>
      </c>
      <c r="T190">
        <v>45517</v>
      </c>
      <c r="U190" t="str">
        <v>CUST007</v>
      </c>
      <c r="V190" t="str">
        <v>David Martinez</v>
      </c>
      <c r="W190" t="str">
        <v>P003</v>
      </c>
      <c r="X190" t="str">
        <v>Headphones</v>
      </c>
      <c r="Y190" t="str">
        <v>Electronics</v>
      </c>
      <c r="Z190">
        <v>4</v>
      </c>
      <c r="AA190">
        <v>149.99</v>
      </c>
      <c r="AB190" t="str">
        <v>Debit Card</v>
      </c>
      <c r="AC190" t="str">
        <v>South</v>
      </c>
      <c r="AD190" t="str">
        <v>Premium</v>
      </c>
      <c r="AE190">
        <v>44820</v>
      </c>
      <c r="AF190">
        <v>599.96</v>
      </c>
    </row>
    <row r="191" spans="1:32" ht="15.75" customHeight="1">
      <c r="A191" s="5" t="s">
        <v>346</v>
      </c>
      <c r="B191" s="6">
        <v>45671</v>
      </c>
      <c r="C191" s="5" t="s">
        <v>168</v>
      </c>
      <c r="D191" s="5" t="s">
        <v>169</v>
      </c>
      <c r="E191" s="5" t="s">
        <v>46</v>
      </c>
      <c r="F191" s="5" t="s">
        <v>24</v>
      </c>
      <c r="G191" s="5" t="s">
        <v>11</v>
      </c>
      <c r="H191" s="5">
        <v>4</v>
      </c>
      <c r="I191" s="5">
        <v>249.99</v>
      </c>
      <c r="J191" s="5" t="s">
        <v>51</v>
      </c>
      <c r="K191" s="5" t="s">
        <v>5</v>
      </c>
      <c r="L191" s="5" t="s">
        <v>29</v>
      </c>
      <c r="M191" s="6">
        <v>44460</v>
      </c>
      <c r="N191" s="5">
        <v>999.96</v>
      </c>
      <c r="S191" t="str">
        <v>TRX0075</v>
      </c>
      <c r="T191">
        <v>45517</v>
      </c>
      <c r="U191" t="str">
        <v>CUST020</v>
      </c>
      <c r="V191" t="str">
        <v>Margaret Wright</v>
      </c>
      <c r="W191" t="str">
        <v>P009</v>
      </c>
      <c r="X191" t="str">
        <v>Monitor</v>
      </c>
      <c r="Y191" t="str">
        <v>Electronics</v>
      </c>
      <c r="Z191">
        <v>5</v>
      </c>
      <c r="AA191">
        <v>249.99</v>
      </c>
      <c r="AB191" t="str">
        <v>PayPal</v>
      </c>
      <c r="AC191" t="str">
        <v>East</v>
      </c>
      <c r="AD191" t="str">
        <v>Premium</v>
      </c>
      <c r="AE191">
        <v>44782</v>
      </c>
      <c r="AF191">
        <v>1249.95</v>
      </c>
    </row>
    <row r="192" spans="1:32" ht="15.75" customHeight="1">
      <c r="A192" s="5" t="s">
        <v>347</v>
      </c>
      <c r="B192" s="6">
        <v>45671</v>
      </c>
      <c r="C192" s="5" t="s">
        <v>131</v>
      </c>
      <c r="D192" s="5" t="s">
        <v>132</v>
      </c>
      <c r="E192" s="5" t="s">
        <v>68</v>
      </c>
      <c r="F192" s="5" t="s">
        <v>21</v>
      </c>
      <c r="G192" s="5" t="s">
        <v>11</v>
      </c>
      <c r="H192" s="5">
        <v>2</v>
      </c>
      <c r="I192" s="5">
        <v>149.99</v>
      </c>
      <c r="J192" s="5" t="s">
        <v>47</v>
      </c>
      <c r="K192" s="5" t="s">
        <v>5</v>
      </c>
      <c r="L192" s="5" t="s">
        <v>30</v>
      </c>
      <c r="M192" s="6">
        <v>44913</v>
      </c>
      <c r="N192" s="5">
        <v>299.98</v>
      </c>
      <c r="S192" t="str">
        <v>TRX0098</v>
      </c>
      <c r="T192">
        <v>45517</v>
      </c>
      <c r="U192" t="str">
        <v>CUST026</v>
      </c>
      <c r="V192" t="str">
        <v>Karen Hill</v>
      </c>
      <c r="W192" t="str">
        <v>P009</v>
      </c>
      <c r="X192" t="str">
        <v>Monitor</v>
      </c>
      <c r="Y192" t="str">
        <v>Electronics</v>
      </c>
      <c r="Z192">
        <v>3</v>
      </c>
      <c r="AA192">
        <v>249.99</v>
      </c>
      <c r="AB192" t="str">
        <v>PayPal</v>
      </c>
      <c r="AC192" t="str">
        <v>North</v>
      </c>
      <c r="AD192" t="str">
        <v>Premium</v>
      </c>
      <c r="AE192">
        <v>44465</v>
      </c>
      <c r="AF192">
        <v>749.97</v>
      </c>
    </row>
    <row r="193" spans="1:32" ht="15.75" customHeight="1">
      <c r="A193" s="5" t="s">
        <v>348</v>
      </c>
      <c r="B193" s="6">
        <v>45671</v>
      </c>
      <c r="C193" s="5" t="s">
        <v>244</v>
      </c>
      <c r="D193" s="5" t="s">
        <v>245</v>
      </c>
      <c r="E193" s="5" t="s">
        <v>118</v>
      </c>
      <c r="F193" s="5" t="s">
        <v>20</v>
      </c>
      <c r="G193" s="5" t="s">
        <v>12</v>
      </c>
      <c r="H193" s="5">
        <v>3</v>
      </c>
      <c r="I193" s="5">
        <v>299.99</v>
      </c>
      <c r="J193" s="5" t="s">
        <v>51</v>
      </c>
      <c r="K193" s="5" t="s">
        <v>6</v>
      </c>
      <c r="L193" s="5" t="s">
        <v>28</v>
      </c>
      <c r="M193" s="6">
        <v>45204</v>
      </c>
      <c r="N193" s="5">
        <v>899.97</v>
      </c>
      <c r="S193" t="str">
        <v>TRX0027</v>
      </c>
      <c r="T193">
        <v>45519</v>
      </c>
      <c r="U193" t="str">
        <v>CUST028</v>
      </c>
      <c r="V193" t="str">
        <v>Betty Campbell</v>
      </c>
      <c r="W193" t="str">
        <v>P006</v>
      </c>
      <c r="X193" t="str">
        <v>Office Chair</v>
      </c>
      <c r="Y193" t="str">
        <v>Furniture</v>
      </c>
      <c r="Z193">
        <v>5</v>
      </c>
      <c r="AA193">
        <v>199.99</v>
      </c>
      <c r="AB193" t="str">
        <v>Cash</v>
      </c>
      <c r="AC193" t="str">
        <v>North</v>
      </c>
      <c r="AD193" t="str">
        <v>Premium</v>
      </c>
      <c r="AE193">
        <v>44991</v>
      </c>
      <c r="AF193">
        <v>999.95</v>
      </c>
    </row>
    <row r="194" spans="1:32" ht="15.75" customHeight="1">
      <c r="A194" s="5" t="s">
        <v>349</v>
      </c>
      <c r="B194" s="6">
        <v>45673</v>
      </c>
      <c r="C194" s="5" t="s">
        <v>236</v>
      </c>
      <c r="D194" s="5" t="s">
        <v>237</v>
      </c>
      <c r="E194" s="5" t="s">
        <v>137</v>
      </c>
      <c r="F194" s="5" t="s">
        <v>25</v>
      </c>
      <c r="G194" s="5" t="s">
        <v>12</v>
      </c>
      <c r="H194" s="5">
        <v>4</v>
      </c>
      <c r="I194" s="5">
        <v>199.99</v>
      </c>
      <c r="J194" s="5" t="s">
        <v>72</v>
      </c>
      <c r="K194" s="5" t="s">
        <v>6</v>
      </c>
      <c r="L194" s="5" t="s">
        <v>30</v>
      </c>
      <c r="M194" s="6">
        <v>44544</v>
      </c>
      <c r="N194" s="5">
        <v>799.96</v>
      </c>
      <c r="S194" t="str">
        <v>TRX0140</v>
      </c>
      <c r="T194">
        <v>45522</v>
      </c>
      <c r="U194" t="str">
        <v>CUST025</v>
      </c>
      <c r="V194" t="str">
        <v>Mark Carter</v>
      </c>
      <c r="W194" t="str">
        <v>P010</v>
      </c>
      <c r="X194" t="str">
        <v>Keyboard</v>
      </c>
      <c r="Y194" t="str">
        <v>Electronics</v>
      </c>
      <c r="Z194">
        <v>2</v>
      </c>
      <c r="AA194">
        <v>89.99</v>
      </c>
      <c r="AB194" t="str">
        <v>Cash</v>
      </c>
      <c r="AC194" t="str">
        <v>East</v>
      </c>
      <c r="AD194" t="str">
        <v>Premium</v>
      </c>
      <c r="AE194">
        <v>44972</v>
      </c>
      <c r="AF194">
        <v>179.98</v>
      </c>
    </row>
    <row r="195" spans="1:32" ht="15.75" customHeight="1">
      <c r="A195" s="5" t="s">
        <v>350</v>
      </c>
      <c r="B195" s="6">
        <v>45673</v>
      </c>
      <c r="C195" s="5" t="s">
        <v>221</v>
      </c>
      <c r="D195" s="5" t="s">
        <v>222</v>
      </c>
      <c r="E195" s="5" t="s">
        <v>118</v>
      </c>
      <c r="F195" s="5" t="s">
        <v>20</v>
      </c>
      <c r="G195" s="5" t="s">
        <v>12</v>
      </c>
      <c r="H195" s="5">
        <v>5</v>
      </c>
      <c r="I195" s="5">
        <v>299.99</v>
      </c>
      <c r="J195" s="5" t="s">
        <v>72</v>
      </c>
      <c r="K195" s="5" t="s">
        <v>3</v>
      </c>
      <c r="L195" s="5" t="s">
        <v>28</v>
      </c>
      <c r="M195" s="6">
        <v>44431</v>
      </c>
      <c r="N195" s="5">
        <v>1499.95</v>
      </c>
      <c r="S195" t="str">
        <v>TRX0001</v>
      </c>
      <c r="T195">
        <v>45528</v>
      </c>
      <c r="U195" t="str">
        <v>CUST039</v>
      </c>
      <c r="V195" t="str">
        <v>Lawrence Reed</v>
      </c>
      <c r="W195" t="str">
        <v>P004</v>
      </c>
      <c r="X195" t="str">
        <v>Coffee Maker</v>
      </c>
      <c r="Y195" t="str">
        <v>Appliances</v>
      </c>
      <c r="Z195">
        <v>3</v>
      </c>
      <c r="AA195">
        <v>79.989999999999995</v>
      </c>
      <c r="AB195" t="str">
        <v>Cash</v>
      </c>
      <c r="AC195" t="str">
        <v>Central</v>
      </c>
      <c r="AD195" t="str">
        <v>Premium</v>
      </c>
      <c r="AE195">
        <v>44779</v>
      </c>
      <c r="AF195">
        <v>239.97</v>
      </c>
    </row>
    <row r="196" spans="1:32" ht="15.75" customHeight="1">
      <c r="A196" s="5" t="s">
        <v>351</v>
      </c>
      <c r="B196" s="6">
        <v>45673</v>
      </c>
      <c r="C196" s="5" t="s">
        <v>74</v>
      </c>
      <c r="D196" s="5" t="s">
        <v>75</v>
      </c>
      <c r="E196" s="5" t="s">
        <v>63</v>
      </c>
      <c r="F196" s="5" t="s">
        <v>18</v>
      </c>
      <c r="G196" s="5" t="s">
        <v>12</v>
      </c>
      <c r="H196" s="5">
        <v>3</v>
      </c>
      <c r="I196" s="5">
        <v>149.99</v>
      </c>
      <c r="J196" s="5" t="s">
        <v>51</v>
      </c>
      <c r="K196" s="5" t="s">
        <v>4</v>
      </c>
      <c r="L196" s="5" t="s">
        <v>30</v>
      </c>
      <c r="M196" s="6">
        <v>44395</v>
      </c>
      <c r="N196" s="5">
        <v>449.97</v>
      </c>
      <c r="S196" t="str">
        <v>TRX0058</v>
      </c>
      <c r="T196">
        <v>45532</v>
      </c>
      <c r="U196" t="str">
        <v>CUST047</v>
      </c>
      <c r="V196" t="str">
        <v>Gerald Murphy</v>
      </c>
      <c r="W196" t="str">
        <v>P002</v>
      </c>
      <c r="X196" t="str">
        <v>Smartphone</v>
      </c>
      <c r="Y196" t="str">
        <v>Electronics</v>
      </c>
      <c r="Z196">
        <v>1</v>
      </c>
      <c r="AA196">
        <v>699.99</v>
      </c>
      <c r="AB196" t="str">
        <v>Cash</v>
      </c>
      <c r="AC196" t="str">
        <v>Central</v>
      </c>
      <c r="AD196" t="str">
        <v>Premium</v>
      </c>
      <c r="AE196">
        <v>44497</v>
      </c>
      <c r="AF196">
        <v>699.99</v>
      </c>
    </row>
    <row r="197" spans="1:32" ht="15.75" customHeight="1">
      <c r="A197" s="5" t="s">
        <v>352</v>
      </c>
      <c r="B197" s="6">
        <v>45676</v>
      </c>
      <c r="C197" s="5" t="s">
        <v>139</v>
      </c>
      <c r="D197" s="5" t="s">
        <v>140</v>
      </c>
      <c r="E197" s="5" t="s">
        <v>55</v>
      </c>
      <c r="F197" s="5" t="s">
        <v>17</v>
      </c>
      <c r="G197" s="5" t="s">
        <v>10</v>
      </c>
      <c r="H197" s="5">
        <v>5</v>
      </c>
      <c r="I197" s="5">
        <v>59.99</v>
      </c>
      <c r="J197" s="5" t="s">
        <v>72</v>
      </c>
      <c r="K197" s="5" t="s">
        <v>4</v>
      </c>
      <c r="L197" s="5" t="s">
        <v>28</v>
      </c>
      <c r="M197" s="6">
        <v>44642</v>
      </c>
      <c r="N197" s="5">
        <v>299.95</v>
      </c>
      <c r="S197" t="str">
        <v>TRX0170</v>
      </c>
      <c r="T197">
        <v>45532</v>
      </c>
      <c r="U197" t="str">
        <v>CUST034</v>
      </c>
      <c r="V197" t="str">
        <v>Carol Evans</v>
      </c>
      <c r="W197" t="str">
        <v>P003</v>
      </c>
      <c r="X197" t="str">
        <v>Headphones</v>
      </c>
      <c r="Y197" t="str">
        <v>Electronics</v>
      </c>
      <c r="Z197">
        <v>3</v>
      </c>
      <c r="AA197">
        <v>149.99</v>
      </c>
      <c r="AB197" t="str">
        <v>Cash</v>
      </c>
      <c r="AC197" t="str">
        <v>West</v>
      </c>
      <c r="AD197" t="str">
        <v>Premium</v>
      </c>
      <c r="AE197">
        <v>45212</v>
      </c>
      <c r="AF197">
        <v>449.97</v>
      </c>
    </row>
    <row r="198" spans="1:32" ht="15.75" customHeight="1">
      <c r="A198" s="5" t="s">
        <v>353</v>
      </c>
      <c r="B198" s="6">
        <v>45682</v>
      </c>
      <c r="C198" s="5" t="s">
        <v>81</v>
      </c>
      <c r="D198" s="5" t="s">
        <v>82</v>
      </c>
      <c r="E198" s="5" t="s">
        <v>55</v>
      </c>
      <c r="F198" s="5" t="s">
        <v>17</v>
      </c>
      <c r="G198" s="5" t="s">
        <v>10</v>
      </c>
      <c r="H198" s="5">
        <v>4</v>
      </c>
      <c r="I198" s="5">
        <v>59.99</v>
      </c>
      <c r="J198" s="5" t="s">
        <v>72</v>
      </c>
      <c r="K198" s="5" t="s">
        <v>4</v>
      </c>
      <c r="L198" s="5" t="s">
        <v>30</v>
      </c>
      <c r="M198" s="6">
        <v>44564</v>
      </c>
      <c r="N198" s="5">
        <v>239.96</v>
      </c>
      <c r="S198" t="str">
        <v>TRX0248</v>
      </c>
      <c r="T198">
        <v>45534</v>
      </c>
      <c r="U198" t="str">
        <v>CUST032</v>
      </c>
      <c r="V198" t="str">
        <v>Sandra Phillips</v>
      </c>
      <c r="W198" t="str">
        <v>P002</v>
      </c>
      <c r="X198" t="str">
        <v>Smartphone</v>
      </c>
      <c r="Y198" t="str">
        <v>Electronics</v>
      </c>
      <c r="Z198">
        <v>2</v>
      </c>
      <c r="AA198">
        <v>699.99</v>
      </c>
      <c r="AB198" t="str">
        <v>Credit Card</v>
      </c>
      <c r="AC198" t="str">
        <v>North</v>
      </c>
      <c r="AD198" t="str">
        <v>Premium</v>
      </c>
      <c r="AE198">
        <v>44421</v>
      </c>
      <c r="AF198">
        <v>1399.98</v>
      </c>
    </row>
    <row r="199" spans="1:32" ht="15.75" customHeight="1">
      <c r="A199" s="5" t="s">
        <v>354</v>
      </c>
      <c r="B199" s="6">
        <v>45683</v>
      </c>
      <c r="C199" s="5" t="s">
        <v>65</v>
      </c>
      <c r="D199" s="5" t="s">
        <v>66</v>
      </c>
      <c r="E199" s="5" t="s">
        <v>46</v>
      </c>
      <c r="F199" s="5" t="s">
        <v>24</v>
      </c>
      <c r="G199" s="5" t="s">
        <v>11</v>
      </c>
      <c r="H199" s="5">
        <v>4</v>
      </c>
      <c r="I199" s="5">
        <v>249.99</v>
      </c>
      <c r="J199" s="5" t="s">
        <v>72</v>
      </c>
      <c r="K199" s="5" t="s">
        <v>3</v>
      </c>
      <c r="L199" s="5" t="s">
        <v>29</v>
      </c>
      <c r="M199" s="6">
        <v>45217</v>
      </c>
      <c r="N199" s="5">
        <v>999.96</v>
      </c>
      <c r="S199" t="str">
        <v>TRX0099</v>
      </c>
      <c r="T199">
        <v>45537</v>
      </c>
      <c r="U199" t="str">
        <v>CUST034</v>
      </c>
      <c r="V199" t="str">
        <v>Carol Evans</v>
      </c>
      <c r="W199" t="str">
        <v>P009</v>
      </c>
      <c r="X199" t="str">
        <v>Monitor</v>
      </c>
      <c r="Y199" t="str">
        <v>Electronics</v>
      </c>
      <c r="Z199">
        <v>1</v>
      </c>
      <c r="AA199">
        <v>249.99</v>
      </c>
      <c r="AB199" t="str">
        <v>Credit Card</v>
      </c>
      <c r="AC199" t="str">
        <v>West</v>
      </c>
      <c r="AD199" t="str">
        <v>Premium</v>
      </c>
      <c r="AE199">
        <v>44685</v>
      </c>
      <c r="AF199">
        <v>249.99</v>
      </c>
    </row>
    <row r="200" spans="1:32" ht="15.75" customHeight="1">
      <c r="A200" s="5" t="s">
        <v>355</v>
      </c>
      <c r="B200" s="6">
        <v>45686</v>
      </c>
      <c r="C200" s="5" t="s">
        <v>262</v>
      </c>
      <c r="D200" s="5" t="s">
        <v>263</v>
      </c>
      <c r="E200" s="5" t="s">
        <v>76</v>
      </c>
      <c r="F200" s="5" t="s">
        <v>23</v>
      </c>
      <c r="G200" s="5" t="s">
        <v>11</v>
      </c>
      <c r="H200" s="5">
        <v>4</v>
      </c>
      <c r="I200" s="5">
        <v>899.99</v>
      </c>
      <c r="J200" s="5" t="s">
        <v>56</v>
      </c>
      <c r="K200" s="5" t="s">
        <v>3</v>
      </c>
      <c r="L200" s="5" t="s">
        <v>28</v>
      </c>
      <c r="M200" s="6">
        <v>44734</v>
      </c>
      <c r="N200" s="5">
        <v>3599.96</v>
      </c>
      <c r="S200" t="str">
        <v>TRX0074</v>
      </c>
      <c r="T200">
        <v>45537</v>
      </c>
      <c r="U200" t="str">
        <v>CUST023</v>
      </c>
      <c r="V200" t="str">
        <v>Paul Baker</v>
      </c>
      <c r="W200" t="str">
        <v>P009</v>
      </c>
      <c r="X200" t="str">
        <v>Monitor</v>
      </c>
      <c r="Y200" t="str">
        <v>Electronics</v>
      </c>
      <c r="Z200">
        <v>1</v>
      </c>
      <c r="AA200">
        <v>249.99</v>
      </c>
      <c r="AB200" t="str">
        <v>Debit Card</v>
      </c>
      <c r="AC200" t="str">
        <v>North</v>
      </c>
      <c r="AD200" t="str">
        <v>Premium</v>
      </c>
      <c r="AE200">
        <v>45332</v>
      </c>
      <c r="AF200">
        <v>249.99</v>
      </c>
    </row>
    <row r="201" spans="1:32" ht="15.75" customHeight="1">
      <c r="A201" s="5" t="s">
        <v>356</v>
      </c>
      <c r="B201" s="6">
        <v>45686</v>
      </c>
      <c r="C201" s="5" t="s">
        <v>99</v>
      </c>
      <c r="D201" s="5" t="s">
        <v>100</v>
      </c>
      <c r="E201" s="5" t="s">
        <v>118</v>
      </c>
      <c r="F201" s="5" t="s">
        <v>20</v>
      </c>
      <c r="G201" s="5" t="s">
        <v>12</v>
      </c>
      <c r="H201" s="5">
        <v>3</v>
      </c>
      <c r="I201" s="5">
        <v>299.99</v>
      </c>
      <c r="J201" s="5" t="s">
        <v>72</v>
      </c>
      <c r="K201" s="5" t="s">
        <v>7</v>
      </c>
      <c r="L201" s="5" t="s">
        <v>30</v>
      </c>
      <c r="M201" s="6">
        <v>44952</v>
      </c>
      <c r="N201" s="5">
        <v>899.97</v>
      </c>
      <c r="S201" t="str">
        <v>TRX0225</v>
      </c>
      <c r="T201">
        <v>45538</v>
      </c>
      <c r="U201" t="str">
        <v>CUST039</v>
      </c>
      <c r="V201" t="str">
        <v>Lawrence Reed</v>
      </c>
      <c r="W201" t="str">
        <v>P002</v>
      </c>
      <c r="X201" t="str">
        <v>Smartphone</v>
      </c>
      <c r="Y201" t="str">
        <v>Electronics</v>
      </c>
      <c r="Z201">
        <v>2</v>
      </c>
      <c r="AA201">
        <v>699.99</v>
      </c>
      <c r="AB201" t="str">
        <v>Debit Card</v>
      </c>
      <c r="AC201" t="str">
        <v>Central</v>
      </c>
      <c r="AD201" t="str">
        <v>Premium</v>
      </c>
      <c r="AE201">
        <v>44870</v>
      </c>
      <c r="AF201">
        <v>1399.98</v>
      </c>
    </row>
    <row r="202" spans="1:32" ht="15.75" customHeight="1">
      <c r="A202" s="5" t="s">
        <v>357</v>
      </c>
      <c r="B202" s="6">
        <v>45686</v>
      </c>
      <c r="C202" s="5" t="s">
        <v>303</v>
      </c>
      <c r="D202" s="5" t="s">
        <v>304</v>
      </c>
      <c r="E202" s="5" t="s">
        <v>94</v>
      </c>
      <c r="F202" s="5" t="s">
        <v>26</v>
      </c>
      <c r="G202" s="5" t="s">
        <v>11</v>
      </c>
      <c r="H202" s="5">
        <v>2</v>
      </c>
      <c r="I202" s="5">
        <v>699.99</v>
      </c>
      <c r="J202" s="5" t="s">
        <v>72</v>
      </c>
      <c r="K202" s="5" t="s">
        <v>3</v>
      </c>
      <c r="L202" s="5" t="s">
        <v>29</v>
      </c>
      <c r="M202" s="6">
        <v>44681</v>
      </c>
      <c r="N202" s="5">
        <v>1399.98</v>
      </c>
      <c r="S202" t="str">
        <v>TRX0100</v>
      </c>
      <c r="T202">
        <v>45541</v>
      </c>
      <c r="U202" t="str">
        <v>CUST031</v>
      </c>
      <c r="V202" t="str">
        <v>Steven Turner</v>
      </c>
      <c r="W202" t="str">
        <v>P005</v>
      </c>
      <c r="X202" t="str">
        <v>Blender</v>
      </c>
      <c r="Y202" t="str">
        <v>Appliances</v>
      </c>
      <c r="Z202">
        <v>3</v>
      </c>
      <c r="AA202">
        <v>59.99</v>
      </c>
      <c r="AB202" t="str">
        <v>Credit Card</v>
      </c>
      <c r="AC202" t="str">
        <v>Central</v>
      </c>
      <c r="AD202" t="str">
        <v>Premium</v>
      </c>
      <c r="AE202">
        <v>44717</v>
      </c>
      <c r="AF202">
        <v>179.97</v>
      </c>
    </row>
    <row r="203" spans="1:32" ht="15.75" customHeight="1">
      <c r="A203" s="5" t="s">
        <v>358</v>
      </c>
      <c r="B203" s="6">
        <v>45688</v>
      </c>
      <c r="C203" s="5" t="s">
        <v>78</v>
      </c>
      <c r="D203" s="5" t="s">
        <v>79</v>
      </c>
      <c r="E203" s="5" t="s">
        <v>94</v>
      </c>
      <c r="F203" s="5" t="s">
        <v>26</v>
      </c>
      <c r="G203" s="5" t="s">
        <v>11</v>
      </c>
      <c r="H203" s="5">
        <v>4</v>
      </c>
      <c r="I203" s="5">
        <v>699.99</v>
      </c>
      <c r="J203" s="5" t="s">
        <v>72</v>
      </c>
      <c r="K203" s="5" t="s">
        <v>7</v>
      </c>
      <c r="L203" s="5" t="s">
        <v>29</v>
      </c>
      <c r="M203" s="6">
        <v>44692</v>
      </c>
      <c r="N203" s="5">
        <v>2799.96</v>
      </c>
      <c r="S203" t="str">
        <v>TRX0108</v>
      </c>
      <c r="T203">
        <v>45547</v>
      </c>
      <c r="U203" t="str">
        <v>CUST024</v>
      </c>
      <c r="V203" t="str">
        <v>Dorothy Nelson</v>
      </c>
      <c r="W203" t="str">
        <v>P007</v>
      </c>
      <c r="X203" t="str">
        <v>Desk</v>
      </c>
      <c r="Y203" t="str">
        <v>Furniture</v>
      </c>
      <c r="Z203">
        <v>3</v>
      </c>
      <c r="AA203">
        <v>299.99</v>
      </c>
      <c r="AB203" t="str">
        <v>Credit Card</v>
      </c>
      <c r="AC203" t="str">
        <v>Central</v>
      </c>
      <c r="AD203" t="str">
        <v>Premium</v>
      </c>
      <c r="AE203">
        <v>44494</v>
      </c>
      <c r="AF203">
        <v>899.97</v>
      </c>
    </row>
    <row r="204" spans="1:32" ht="15.75" customHeight="1">
      <c r="A204" s="5" t="s">
        <v>359</v>
      </c>
      <c r="B204" s="6">
        <v>45688</v>
      </c>
      <c r="C204" s="5" t="s">
        <v>134</v>
      </c>
      <c r="D204" s="5" t="s">
        <v>135</v>
      </c>
      <c r="E204" s="5" t="s">
        <v>129</v>
      </c>
      <c r="F204" s="5" t="s">
        <v>22</v>
      </c>
      <c r="G204" s="5" t="s">
        <v>11</v>
      </c>
      <c r="H204" s="5">
        <v>2</v>
      </c>
      <c r="I204" s="5">
        <v>89.99</v>
      </c>
      <c r="J204" s="5" t="s">
        <v>72</v>
      </c>
      <c r="K204" s="5" t="s">
        <v>6</v>
      </c>
      <c r="L204" s="5" t="s">
        <v>28</v>
      </c>
      <c r="M204" s="6">
        <v>44777</v>
      </c>
      <c r="N204" s="5">
        <v>179.98</v>
      </c>
      <c r="S204" t="str">
        <v>TRX0211</v>
      </c>
      <c r="T204">
        <v>45548</v>
      </c>
      <c r="U204" t="str">
        <v>CUST046</v>
      </c>
      <c r="V204" t="str">
        <v>Kathleen Bennett</v>
      </c>
      <c r="W204" t="str">
        <v>P010</v>
      </c>
      <c r="X204" t="str">
        <v>Keyboard</v>
      </c>
      <c r="Y204" t="str">
        <v>Electronics</v>
      </c>
      <c r="Z204">
        <v>2</v>
      </c>
      <c r="AA204">
        <v>89.99</v>
      </c>
      <c r="AB204" t="str">
        <v>Credit Card</v>
      </c>
      <c r="AC204" t="str">
        <v>South</v>
      </c>
      <c r="AD204" t="str">
        <v>Premium</v>
      </c>
      <c r="AE204">
        <v>44641</v>
      </c>
      <c r="AF204">
        <v>179.98</v>
      </c>
    </row>
    <row r="205" spans="1:32" ht="15.75" customHeight="1">
      <c r="A205" s="5" t="s">
        <v>360</v>
      </c>
      <c r="B205" s="6">
        <v>45688</v>
      </c>
      <c r="C205" s="5" t="s">
        <v>61</v>
      </c>
      <c r="D205" s="5" t="s">
        <v>62</v>
      </c>
      <c r="E205" s="5" t="s">
        <v>129</v>
      </c>
      <c r="F205" s="5" t="s">
        <v>22</v>
      </c>
      <c r="G205" s="5" t="s">
        <v>11</v>
      </c>
      <c r="H205" s="5">
        <v>3</v>
      </c>
      <c r="I205" s="5">
        <v>89.99</v>
      </c>
      <c r="J205" s="5" t="s">
        <v>72</v>
      </c>
      <c r="K205" s="5" t="s">
        <v>6</v>
      </c>
      <c r="L205" s="5" t="s">
        <v>29</v>
      </c>
      <c r="M205" s="6">
        <v>45307</v>
      </c>
      <c r="N205" s="5">
        <v>269.97000000000003</v>
      </c>
      <c r="S205" t="str">
        <v>TRX0077</v>
      </c>
      <c r="T205">
        <v>45554</v>
      </c>
      <c r="U205" t="str">
        <v>CUST019</v>
      </c>
      <c r="V205" t="str">
        <v>Daniel King</v>
      </c>
      <c r="W205" t="str">
        <v>P010</v>
      </c>
      <c r="X205" t="str">
        <v>Keyboard</v>
      </c>
      <c r="Y205" t="str">
        <v>Electronics</v>
      </c>
      <c r="Z205">
        <v>5</v>
      </c>
      <c r="AA205">
        <v>89.99</v>
      </c>
      <c r="AB205" t="str">
        <v>Credit Card</v>
      </c>
      <c r="AC205" t="str">
        <v>East</v>
      </c>
      <c r="AD205" t="str">
        <v>Premium</v>
      </c>
      <c r="AE205">
        <v>44446</v>
      </c>
      <c r="AF205">
        <v>449.95</v>
      </c>
    </row>
    <row r="206" spans="1:32" ht="15.75" customHeight="1">
      <c r="A206" s="5" t="s">
        <v>361</v>
      </c>
      <c r="B206" s="6">
        <v>45692</v>
      </c>
      <c r="C206" s="5" t="s">
        <v>335</v>
      </c>
      <c r="D206" s="5" t="s">
        <v>336</v>
      </c>
      <c r="E206" s="5" t="s">
        <v>55</v>
      </c>
      <c r="F206" s="5" t="s">
        <v>17</v>
      </c>
      <c r="G206" s="5" t="s">
        <v>10</v>
      </c>
      <c r="H206" s="5">
        <v>1</v>
      </c>
      <c r="I206" s="5">
        <v>59.99</v>
      </c>
      <c r="J206" s="5" t="s">
        <v>72</v>
      </c>
      <c r="K206" s="5" t="s">
        <v>3</v>
      </c>
      <c r="L206" s="5" t="s">
        <v>30</v>
      </c>
      <c r="M206" s="6">
        <v>45045</v>
      </c>
      <c r="N206" s="5">
        <v>59.99</v>
      </c>
      <c r="S206" t="str">
        <v>TRX0174</v>
      </c>
      <c r="T206">
        <v>45566</v>
      </c>
      <c r="U206" t="str">
        <v>CUST003</v>
      </c>
      <c r="V206" t="str">
        <v>Michael Brown</v>
      </c>
      <c r="W206" t="str">
        <v>P007</v>
      </c>
      <c r="X206" t="str">
        <v>Desk</v>
      </c>
      <c r="Y206" t="str">
        <v>Furniture</v>
      </c>
      <c r="Z206">
        <v>4</v>
      </c>
      <c r="AA206">
        <v>299.99</v>
      </c>
      <c r="AB206" t="str">
        <v>Cash</v>
      </c>
      <c r="AC206" t="str">
        <v>Central</v>
      </c>
      <c r="AD206" t="str">
        <v>Premium</v>
      </c>
      <c r="AE206">
        <v>44460</v>
      </c>
      <c r="AF206">
        <v>1199.96</v>
      </c>
    </row>
    <row r="207" spans="1:32" ht="15.75" customHeight="1">
      <c r="A207" s="5" t="s">
        <v>362</v>
      </c>
      <c r="B207" s="6">
        <v>45695</v>
      </c>
      <c r="C207" s="5" t="s">
        <v>256</v>
      </c>
      <c r="D207" s="5" t="s">
        <v>257</v>
      </c>
      <c r="E207" s="5" t="s">
        <v>63</v>
      </c>
      <c r="F207" s="5" t="s">
        <v>18</v>
      </c>
      <c r="G207" s="5" t="s">
        <v>12</v>
      </c>
      <c r="H207" s="5">
        <v>3</v>
      </c>
      <c r="I207" s="5">
        <v>149.99</v>
      </c>
      <c r="J207" s="5" t="s">
        <v>72</v>
      </c>
      <c r="K207" s="5" t="s">
        <v>5</v>
      </c>
      <c r="L207" s="5" t="s">
        <v>29</v>
      </c>
      <c r="M207" s="6">
        <v>44564</v>
      </c>
      <c r="N207" s="5">
        <v>449.97</v>
      </c>
      <c r="S207" t="str">
        <v>TRX0203</v>
      </c>
      <c r="T207">
        <v>45572</v>
      </c>
      <c r="U207" t="str">
        <v>CUST032</v>
      </c>
      <c r="V207" t="str">
        <v>Sandra Phillips</v>
      </c>
      <c r="W207" t="str">
        <v>P003</v>
      </c>
      <c r="X207" t="str">
        <v>Headphones</v>
      </c>
      <c r="Y207" t="str">
        <v>Electronics</v>
      </c>
      <c r="Z207">
        <v>4</v>
      </c>
      <c r="AA207">
        <v>149.99</v>
      </c>
      <c r="AB207" t="str">
        <v>Credit Card</v>
      </c>
      <c r="AC207" t="str">
        <v>North</v>
      </c>
      <c r="AD207" t="str">
        <v>Premium</v>
      </c>
      <c r="AE207">
        <v>45076</v>
      </c>
      <c r="AF207">
        <v>599.96</v>
      </c>
    </row>
    <row r="208" spans="1:32" ht="15.75" customHeight="1">
      <c r="A208" s="5" t="s">
        <v>363</v>
      </c>
      <c r="B208" s="6">
        <v>45695</v>
      </c>
      <c r="C208" s="5" t="s">
        <v>106</v>
      </c>
      <c r="D208" s="5" t="s">
        <v>107</v>
      </c>
      <c r="E208" s="5" t="s">
        <v>118</v>
      </c>
      <c r="F208" s="5" t="s">
        <v>20</v>
      </c>
      <c r="G208" s="5" t="s">
        <v>12</v>
      </c>
      <c r="H208" s="5">
        <v>5</v>
      </c>
      <c r="I208" s="5">
        <v>299.99</v>
      </c>
      <c r="J208" s="5" t="s">
        <v>51</v>
      </c>
      <c r="K208" s="5" t="s">
        <v>6</v>
      </c>
      <c r="L208" s="5" t="s">
        <v>28</v>
      </c>
      <c r="M208" s="6">
        <v>44959</v>
      </c>
      <c r="N208" s="5">
        <v>1499.95</v>
      </c>
      <c r="S208" t="str">
        <v>TRX0055</v>
      </c>
      <c r="T208">
        <v>45573</v>
      </c>
      <c r="U208" t="str">
        <v>CUST016</v>
      </c>
      <c r="V208" t="str">
        <v>Elizabeth Hall</v>
      </c>
      <c r="W208" t="str">
        <v>P002</v>
      </c>
      <c r="X208" t="str">
        <v>Smartphone</v>
      </c>
      <c r="Y208" t="str">
        <v>Electronics</v>
      </c>
      <c r="Z208">
        <v>2</v>
      </c>
      <c r="AA208">
        <v>699.99</v>
      </c>
      <c r="AB208" t="str">
        <v>Debit Card</v>
      </c>
      <c r="AC208" t="str">
        <v>East</v>
      </c>
      <c r="AD208" t="str">
        <v>Premium</v>
      </c>
      <c r="AE208">
        <v>45274</v>
      </c>
      <c r="AF208">
        <v>1399.98</v>
      </c>
    </row>
    <row r="209" spans="1:32" ht="15.75" customHeight="1">
      <c r="A209" s="5" t="s">
        <v>364</v>
      </c>
      <c r="B209" s="6">
        <v>45696</v>
      </c>
      <c r="C209" s="5" t="s">
        <v>160</v>
      </c>
      <c r="D209" s="5" t="s">
        <v>161</v>
      </c>
      <c r="E209" s="5" t="s">
        <v>55</v>
      </c>
      <c r="F209" s="5" t="s">
        <v>17</v>
      </c>
      <c r="G209" s="5" t="s">
        <v>10</v>
      </c>
      <c r="H209" s="5">
        <v>5</v>
      </c>
      <c r="I209" s="5">
        <v>59.99</v>
      </c>
      <c r="J209" s="5" t="s">
        <v>72</v>
      </c>
      <c r="K209" s="5" t="s">
        <v>3</v>
      </c>
      <c r="L209" s="5" t="s">
        <v>30</v>
      </c>
      <c r="M209" s="6">
        <v>45177</v>
      </c>
      <c r="N209" s="5">
        <v>299.95</v>
      </c>
      <c r="S209" t="str">
        <v>TRX0167</v>
      </c>
      <c r="T209">
        <v>45589</v>
      </c>
      <c r="U209" t="str">
        <v>CUST028</v>
      </c>
      <c r="V209" t="str">
        <v>Betty Campbell</v>
      </c>
      <c r="W209" t="str">
        <v>P002</v>
      </c>
      <c r="X209" t="str">
        <v>Smartphone</v>
      </c>
      <c r="Y209" t="str">
        <v>Electronics</v>
      </c>
      <c r="Z209">
        <v>5</v>
      </c>
      <c r="AA209">
        <v>699.99</v>
      </c>
      <c r="AB209" t="str">
        <v>Cash</v>
      </c>
      <c r="AC209" t="str">
        <v>North</v>
      </c>
      <c r="AD209" t="str">
        <v>Premium</v>
      </c>
      <c r="AE209">
        <v>44635</v>
      </c>
      <c r="AF209">
        <v>3499.95</v>
      </c>
    </row>
    <row r="210" spans="1:32" ht="15.75" customHeight="1">
      <c r="A210" s="5" t="s">
        <v>365</v>
      </c>
      <c r="B210" s="6">
        <v>45701</v>
      </c>
      <c r="C210" s="5" t="s">
        <v>120</v>
      </c>
      <c r="D210" s="5" t="s">
        <v>121</v>
      </c>
      <c r="E210" s="5" t="s">
        <v>127</v>
      </c>
      <c r="F210" s="5" t="s">
        <v>19</v>
      </c>
      <c r="G210" s="5" t="s">
        <v>10</v>
      </c>
      <c r="H210" s="5">
        <v>3</v>
      </c>
      <c r="I210" s="5">
        <v>79.989999999999995</v>
      </c>
      <c r="J210" s="5" t="s">
        <v>47</v>
      </c>
      <c r="K210" s="5" t="s">
        <v>4</v>
      </c>
      <c r="L210" s="5" t="s">
        <v>29</v>
      </c>
      <c r="M210" s="6">
        <v>44436</v>
      </c>
      <c r="N210" s="5">
        <v>239.97</v>
      </c>
      <c r="S210" t="str">
        <v>TRX0060</v>
      </c>
      <c r="T210">
        <v>45603</v>
      </c>
      <c r="U210" t="str">
        <v>CUST012</v>
      </c>
      <c r="V210" t="str">
        <v>Patricia Moore</v>
      </c>
      <c r="W210" t="str">
        <v>P010</v>
      </c>
      <c r="X210" t="str">
        <v>Keyboard</v>
      </c>
      <c r="Y210" t="str">
        <v>Electronics</v>
      </c>
      <c r="Z210">
        <v>3</v>
      </c>
      <c r="AA210">
        <v>89.99</v>
      </c>
      <c r="AB210" t="str">
        <v>Credit Card</v>
      </c>
      <c r="AC210" t="str">
        <v>North</v>
      </c>
      <c r="AD210" t="str">
        <v>Premium</v>
      </c>
      <c r="AE210">
        <v>44420</v>
      </c>
      <c r="AF210">
        <v>269.97000000000003</v>
      </c>
    </row>
    <row r="211" spans="1:32" ht="15.75" customHeight="1">
      <c r="A211" s="5" t="s">
        <v>366</v>
      </c>
      <c r="B211" s="6">
        <v>45704</v>
      </c>
      <c r="C211" s="5" t="s">
        <v>53</v>
      </c>
      <c r="D211" s="5" t="s">
        <v>54</v>
      </c>
      <c r="E211" s="5" t="s">
        <v>137</v>
      </c>
      <c r="F211" s="5" t="s">
        <v>25</v>
      </c>
      <c r="G211" s="5" t="s">
        <v>12</v>
      </c>
      <c r="H211" s="5">
        <v>3</v>
      </c>
      <c r="I211" s="5">
        <v>199.99</v>
      </c>
      <c r="J211" s="5" t="s">
        <v>47</v>
      </c>
      <c r="K211" s="5" t="s">
        <v>3</v>
      </c>
      <c r="L211" s="5" t="s">
        <v>28</v>
      </c>
      <c r="M211" s="6">
        <v>44735</v>
      </c>
      <c r="N211" s="5">
        <v>599.97</v>
      </c>
      <c r="S211" t="str">
        <v>TRX0109</v>
      </c>
      <c r="T211">
        <v>45604</v>
      </c>
      <c r="U211" t="str">
        <v>CUST010</v>
      </c>
      <c r="V211" t="str">
        <v>Maria Garcia</v>
      </c>
      <c r="W211" t="str">
        <v>P008</v>
      </c>
      <c r="X211" t="str">
        <v>Bookshelf</v>
      </c>
      <c r="Y211" t="str">
        <v>Furniture</v>
      </c>
      <c r="Z211">
        <v>2</v>
      </c>
      <c r="AA211">
        <v>149.99</v>
      </c>
      <c r="AB211" t="str">
        <v>Credit Card</v>
      </c>
      <c r="AC211" t="str">
        <v>West</v>
      </c>
      <c r="AD211" t="str">
        <v>Premium</v>
      </c>
      <c r="AE211">
        <v>44848</v>
      </c>
      <c r="AF211">
        <v>299.98</v>
      </c>
    </row>
    <row r="212" spans="1:32" ht="15.75" customHeight="1">
      <c r="A212" s="5" t="s">
        <v>367</v>
      </c>
      <c r="B212" s="6">
        <v>45704</v>
      </c>
      <c r="C212" s="5" t="s">
        <v>44</v>
      </c>
      <c r="D212" s="5" t="s">
        <v>45</v>
      </c>
      <c r="E212" s="5" t="s">
        <v>129</v>
      </c>
      <c r="F212" s="5" t="s">
        <v>22</v>
      </c>
      <c r="G212" s="5" t="s">
        <v>11</v>
      </c>
      <c r="H212" s="5">
        <v>2</v>
      </c>
      <c r="I212" s="5">
        <v>89.99</v>
      </c>
      <c r="J212" s="5" t="s">
        <v>56</v>
      </c>
      <c r="K212" s="5" t="s">
        <v>3</v>
      </c>
      <c r="L212" s="5" t="s">
        <v>28</v>
      </c>
      <c r="M212" s="6">
        <v>45257</v>
      </c>
      <c r="N212" s="5">
        <v>179.98</v>
      </c>
      <c r="S212" t="str">
        <v>TRX0090</v>
      </c>
      <c r="T212">
        <v>45605</v>
      </c>
      <c r="U212" t="str">
        <v>CUST020</v>
      </c>
      <c r="V212" t="str">
        <v>Margaret Wright</v>
      </c>
      <c r="W212" t="str">
        <v>P009</v>
      </c>
      <c r="X212" t="str">
        <v>Monitor</v>
      </c>
      <c r="Y212" t="str">
        <v>Electronics</v>
      </c>
      <c r="Z212">
        <v>1</v>
      </c>
      <c r="AA212">
        <v>249.99</v>
      </c>
      <c r="AB212" t="str">
        <v>Credit Card</v>
      </c>
      <c r="AC212" t="str">
        <v>North</v>
      </c>
      <c r="AD212" t="str">
        <v>Premium</v>
      </c>
      <c r="AE212">
        <v>44828</v>
      </c>
      <c r="AF212">
        <v>249.99</v>
      </c>
    </row>
    <row r="213" spans="1:32" ht="15.75" customHeight="1">
      <c r="A213" s="5" t="s">
        <v>368</v>
      </c>
      <c r="B213" s="6">
        <v>45705</v>
      </c>
      <c r="C213" s="5" t="s">
        <v>269</v>
      </c>
      <c r="D213" s="5" t="s">
        <v>270</v>
      </c>
      <c r="E213" s="5" t="s">
        <v>63</v>
      </c>
      <c r="F213" s="5" t="s">
        <v>18</v>
      </c>
      <c r="G213" s="5" t="s">
        <v>12</v>
      </c>
      <c r="H213" s="5">
        <v>2</v>
      </c>
      <c r="I213" s="5">
        <v>149.99</v>
      </c>
      <c r="J213" s="5" t="s">
        <v>47</v>
      </c>
      <c r="K213" s="5" t="s">
        <v>6</v>
      </c>
      <c r="L213" s="5" t="s">
        <v>29</v>
      </c>
      <c r="M213" s="6">
        <v>44728</v>
      </c>
      <c r="N213" s="5">
        <v>299.98</v>
      </c>
      <c r="S213" t="str">
        <v>TRX0172</v>
      </c>
      <c r="T213">
        <v>45607</v>
      </c>
      <c r="U213" t="str">
        <v>CUST023</v>
      </c>
      <c r="V213" t="str">
        <v>Paul Baker</v>
      </c>
      <c r="W213" t="str">
        <v>P005</v>
      </c>
      <c r="X213" t="str">
        <v>Blender</v>
      </c>
      <c r="Y213" t="str">
        <v>Appliances</v>
      </c>
      <c r="Z213">
        <v>5</v>
      </c>
      <c r="AA213">
        <v>59.99</v>
      </c>
      <c r="AB213" t="str">
        <v>PayPal</v>
      </c>
      <c r="AC213" t="str">
        <v>West</v>
      </c>
      <c r="AD213" t="str">
        <v>Premium</v>
      </c>
      <c r="AE213">
        <v>44694</v>
      </c>
      <c r="AF213">
        <v>299.95</v>
      </c>
    </row>
    <row r="214" spans="1:32" ht="15.75" customHeight="1">
      <c r="A214" s="5" t="s">
        <v>369</v>
      </c>
      <c r="B214" s="6">
        <v>45707</v>
      </c>
      <c r="C214" s="5" t="s">
        <v>134</v>
      </c>
      <c r="D214" s="5" t="s">
        <v>135</v>
      </c>
      <c r="E214" s="5" t="s">
        <v>94</v>
      </c>
      <c r="F214" s="5" t="s">
        <v>26</v>
      </c>
      <c r="G214" s="5" t="s">
        <v>11</v>
      </c>
      <c r="H214" s="5">
        <v>5</v>
      </c>
      <c r="I214" s="5">
        <v>699.99</v>
      </c>
      <c r="J214" s="5" t="s">
        <v>56</v>
      </c>
      <c r="K214" s="5" t="s">
        <v>6</v>
      </c>
      <c r="L214" s="5" t="s">
        <v>29</v>
      </c>
      <c r="M214" s="6">
        <v>45352</v>
      </c>
      <c r="N214" s="5">
        <v>3499.95</v>
      </c>
      <c r="S214" t="str">
        <v>TRX0160</v>
      </c>
      <c r="T214">
        <v>45617</v>
      </c>
      <c r="U214" t="str">
        <v>CUST029</v>
      </c>
      <c r="V214" t="str">
        <v>Edward Mitchell</v>
      </c>
      <c r="W214" t="str">
        <v>P006</v>
      </c>
      <c r="X214" t="str">
        <v>Office Chair</v>
      </c>
      <c r="Y214" t="str">
        <v>Furniture</v>
      </c>
      <c r="Z214">
        <v>4</v>
      </c>
      <c r="AA214">
        <v>199.99</v>
      </c>
      <c r="AB214" t="str">
        <v>Debit Card</v>
      </c>
      <c r="AC214" t="str">
        <v>Central</v>
      </c>
      <c r="AD214" t="str">
        <v>Premium</v>
      </c>
      <c r="AE214">
        <v>44427</v>
      </c>
      <c r="AF214">
        <v>799.96</v>
      </c>
    </row>
    <row r="215" spans="1:32" ht="15.75" customHeight="1">
      <c r="A215" s="5" t="s">
        <v>370</v>
      </c>
      <c r="B215" s="6">
        <v>45707</v>
      </c>
      <c r="C215" s="5" t="s">
        <v>61</v>
      </c>
      <c r="D215" s="5" t="s">
        <v>62</v>
      </c>
      <c r="E215" s="5" t="s">
        <v>63</v>
      </c>
      <c r="F215" s="5" t="s">
        <v>18</v>
      </c>
      <c r="G215" s="5" t="s">
        <v>12</v>
      </c>
      <c r="H215" s="5">
        <v>3</v>
      </c>
      <c r="I215" s="5">
        <v>149.99</v>
      </c>
      <c r="J215" s="5" t="s">
        <v>56</v>
      </c>
      <c r="K215" s="5" t="s">
        <v>3</v>
      </c>
      <c r="L215" s="5" t="s">
        <v>30</v>
      </c>
      <c r="M215" s="6">
        <v>44633</v>
      </c>
      <c r="N215" s="5">
        <v>449.97</v>
      </c>
      <c r="S215" t="str">
        <v>TRX0045</v>
      </c>
      <c r="T215">
        <v>45627</v>
      </c>
      <c r="U215" t="str">
        <v>CUST021</v>
      </c>
      <c r="V215" t="str">
        <v>Kevin Scott</v>
      </c>
      <c r="W215" t="str">
        <v>P007</v>
      </c>
      <c r="X215" t="str">
        <v>Desk</v>
      </c>
      <c r="Y215" t="str">
        <v>Furniture</v>
      </c>
      <c r="Z215">
        <v>3</v>
      </c>
      <c r="AA215">
        <v>299.99</v>
      </c>
      <c r="AB215" t="str">
        <v>Cash</v>
      </c>
      <c r="AC215" t="str">
        <v>South</v>
      </c>
      <c r="AD215" t="str">
        <v>Premium</v>
      </c>
      <c r="AE215">
        <v>44659</v>
      </c>
      <c r="AF215">
        <v>899.97</v>
      </c>
    </row>
    <row r="216" spans="1:32" ht="15.75" customHeight="1">
      <c r="A216" s="5" t="s">
        <v>371</v>
      </c>
      <c r="B216" s="6">
        <v>45708</v>
      </c>
      <c r="C216" s="5" t="s">
        <v>109</v>
      </c>
      <c r="D216" s="5" t="s">
        <v>110</v>
      </c>
      <c r="E216" s="5" t="s">
        <v>76</v>
      </c>
      <c r="F216" s="5" t="s">
        <v>23</v>
      </c>
      <c r="G216" s="5" t="s">
        <v>11</v>
      </c>
      <c r="H216" s="5">
        <v>3</v>
      </c>
      <c r="I216" s="5">
        <v>899.99</v>
      </c>
      <c r="J216" s="5" t="s">
        <v>47</v>
      </c>
      <c r="K216" s="5" t="s">
        <v>4</v>
      </c>
      <c r="L216" s="5" t="s">
        <v>30</v>
      </c>
      <c r="M216" s="6">
        <v>44613</v>
      </c>
      <c r="N216" s="5">
        <v>2699.97</v>
      </c>
      <c r="S216" t="str">
        <v>TRX0094</v>
      </c>
      <c r="T216">
        <v>45627</v>
      </c>
      <c r="U216" t="str">
        <v>CUST017</v>
      </c>
      <c r="V216" t="str">
        <v>Charles Allen</v>
      </c>
      <c r="W216" t="str">
        <v>P009</v>
      </c>
      <c r="X216" t="str">
        <v>Monitor</v>
      </c>
      <c r="Y216" t="str">
        <v>Electronics</v>
      </c>
      <c r="Z216">
        <v>5</v>
      </c>
      <c r="AA216">
        <v>249.99</v>
      </c>
      <c r="AB216" t="str">
        <v>Cash</v>
      </c>
      <c r="AC216" t="str">
        <v>Central</v>
      </c>
      <c r="AD216" t="str">
        <v>Premium</v>
      </c>
      <c r="AE216">
        <v>44485</v>
      </c>
      <c r="AF216">
        <v>1249.95</v>
      </c>
    </row>
    <row r="217" spans="1:32" ht="15.75" customHeight="1">
      <c r="A217" s="5" t="s">
        <v>372</v>
      </c>
      <c r="B217" s="6">
        <v>45708</v>
      </c>
      <c r="C217" s="5" t="s">
        <v>202</v>
      </c>
      <c r="D217" s="5" t="s">
        <v>203</v>
      </c>
      <c r="E217" s="5" t="s">
        <v>137</v>
      </c>
      <c r="F217" s="5" t="s">
        <v>25</v>
      </c>
      <c r="G217" s="5" t="s">
        <v>12</v>
      </c>
      <c r="H217" s="5">
        <v>3</v>
      </c>
      <c r="I217" s="5">
        <v>199.99</v>
      </c>
      <c r="J217" s="5" t="s">
        <v>47</v>
      </c>
      <c r="K217" s="5" t="s">
        <v>7</v>
      </c>
      <c r="L217" s="5" t="s">
        <v>29</v>
      </c>
      <c r="M217" s="6">
        <v>44823</v>
      </c>
      <c r="N217" s="5">
        <v>599.97</v>
      </c>
      <c r="S217" t="str">
        <v>TRX0133</v>
      </c>
      <c r="T217">
        <v>45627</v>
      </c>
      <c r="U217" t="str">
        <v>CUST013</v>
      </c>
      <c r="V217" t="str">
        <v>Joseph Jackson</v>
      </c>
      <c r="W217" t="str">
        <v>P003</v>
      </c>
      <c r="X217" t="str">
        <v>Headphones</v>
      </c>
      <c r="Y217" t="str">
        <v>Electronics</v>
      </c>
      <c r="Z217">
        <v>2</v>
      </c>
      <c r="AA217">
        <v>149.99</v>
      </c>
      <c r="AB217" t="str">
        <v>Cash</v>
      </c>
      <c r="AC217" t="str">
        <v>South</v>
      </c>
      <c r="AD217" t="str">
        <v>Premium</v>
      </c>
      <c r="AE217">
        <v>44475</v>
      </c>
      <c r="AF217">
        <v>299.98</v>
      </c>
    </row>
    <row r="218" spans="1:32" ht="15.75" customHeight="1">
      <c r="A218" s="5" t="s">
        <v>373</v>
      </c>
      <c r="B218" s="6">
        <v>45710</v>
      </c>
      <c r="C218" s="5" t="s">
        <v>70</v>
      </c>
      <c r="D218" s="5" t="s">
        <v>71</v>
      </c>
      <c r="E218" s="5" t="s">
        <v>118</v>
      </c>
      <c r="F218" s="5" t="s">
        <v>20</v>
      </c>
      <c r="G218" s="5" t="s">
        <v>12</v>
      </c>
      <c r="H218" s="5">
        <v>5</v>
      </c>
      <c r="I218" s="5">
        <v>299.99</v>
      </c>
      <c r="J218" s="5" t="s">
        <v>47</v>
      </c>
      <c r="K218" s="5" t="s">
        <v>7</v>
      </c>
      <c r="L218" s="5" t="s">
        <v>30</v>
      </c>
      <c r="M218" s="6">
        <v>45142</v>
      </c>
      <c r="N218" s="5">
        <v>1499.95</v>
      </c>
      <c r="S218" t="str">
        <v>TRX0137</v>
      </c>
      <c r="T218">
        <v>45629</v>
      </c>
      <c r="U218" t="str">
        <v>CUST011</v>
      </c>
      <c r="V218" t="str">
        <v>William White</v>
      </c>
      <c r="W218" t="str">
        <v>P009</v>
      </c>
      <c r="X218" t="str">
        <v>Monitor</v>
      </c>
      <c r="Y218" t="str">
        <v>Electronics</v>
      </c>
      <c r="Z218">
        <v>4</v>
      </c>
      <c r="AA218">
        <v>249.99</v>
      </c>
      <c r="AB218" t="str">
        <v>PayPal</v>
      </c>
      <c r="AC218" t="str">
        <v>East</v>
      </c>
      <c r="AD218" t="str">
        <v>Premium</v>
      </c>
      <c r="AE218">
        <v>45098</v>
      </c>
      <c r="AF218">
        <v>999.96</v>
      </c>
    </row>
    <row r="219" spans="1:32" ht="15.75" customHeight="1">
      <c r="A219" s="5" t="s">
        <v>374</v>
      </c>
      <c r="B219" s="6">
        <v>45710</v>
      </c>
      <c r="C219" s="5" t="s">
        <v>160</v>
      </c>
      <c r="D219" s="5" t="s">
        <v>161</v>
      </c>
      <c r="E219" s="5" t="s">
        <v>94</v>
      </c>
      <c r="F219" s="5" t="s">
        <v>26</v>
      </c>
      <c r="G219" s="5" t="s">
        <v>11</v>
      </c>
      <c r="H219" s="5">
        <v>1</v>
      </c>
      <c r="I219" s="5">
        <v>699.99</v>
      </c>
      <c r="J219" s="5" t="s">
        <v>56</v>
      </c>
      <c r="K219" s="5" t="s">
        <v>7</v>
      </c>
      <c r="L219" s="5" t="s">
        <v>28</v>
      </c>
      <c r="M219" s="6">
        <v>44934</v>
      </c>
      <c r="N219" s="5">
        <v>699.99</v>
      </c>
      <c r="S219" t="str">
        <v>TRX0066</v>
      </c>
      <c r="T219">
        <v>45630</v>
      </c>
      <c r="U219" t="str">
        <v>CUST024</v>
      </c>
      <c r="V219" t="str">
        <v>Dorothy Nelson</v>
      </c>
      <c r="W219" t="str">
        <v>P002</v>
      </c>
      <c r="X219" t="str">
        <v>Smartphone</v>
      </c>
      <c r="Y219" t="str">
        <v>Electronics</v>
      </c>
      <c r="Z219">
        <v>4</v>
      </c>
      <c r="AA219">
        <v>699.99</v>
      </c>
      <c r="AB219" t="str">
        <v>Credit Card</v>
      </c>
      <c r="AC219" t="str">
        <v>North</v>
      </c>
      <c r="AD219" t="str">
        <v>Premium</v>
      </c>
      <c r="AE219">
        <v>44703</v>
      </c>
      <c r="AF219">
        <v>2799.96</v>
      </c>
    </row>
    <row r="220" spans="1:32" ht="15.75" customHeight="1">
      <c r="A220" s="5" t="s">
        <v>375</v>
      </c>
      <c r="B220" s="6">
        <v>45711</v>
      </c>
      <c r="C220" s="5" t="s">
        <v>256</v>
      </c>
      <c r="D220" s="5" t="s">
        <v>257</v>
      </c>
      <c r="E220" s="5" t="s">
        <v>94</v>
      </c>
      <c r="F220" s="5" t="s">
        <v>26</v>
      </c>
      <c r="G220" s="5" t="s">
        <v>11</v>
      </c>
      <c r="H220" s="5">
        <v>1</v>
      </c>
      <c r="I220" s="5">
        <v>699.99</v>
      </c>
      <c r="J220" s="5" t="s">
        <v>47</v>
      </c>
      <c r="K220" s="5" t="s">
        <v>5</v>
      </c>
      <c r="L220" s="5" t="s">
        <v>29</v>
      </c>
      <c r="M220" s="6">
        <v>44583</v>
      </c>
      <c r="N220" s="5">
        <v>699.99</v>
      </c>
      <c r="S220" t="str">
        <v>TRX0180</v>
      </c>
      <c r="T220">
        <v>45635</v>
      </c>
      <c r="U220" t="str">
        <v>CUST036</v>
      </c>
      <c r="V220" t="str">
        <v>Nancy Collins</v>
      </c>
      <c r="W220" t="str">
        <v>P009</v>
      </c>
      <c r="X220" t="str">
        <v>Monitor</v>
      </c>
      <c r="Y220" t="str">
        <v>Electronics</v>
      </c>
      <c r="Z220">
        <v>2</v>
      </c>
      <c r="AA220">
        <v>249.99</v>
      </c>
      <c r="AB220" t="str">
        <v>Credit Card</v>
      </c>
      <c r="AC220" t="str">
        <v>Central</v>
      </c>
      <c r="AD220" t="str">
        <v>Premium</v>
      </c>
      <c r="AE220">
        <v>44396</v>
      </c>
      <c r="AF220">
        <v>499.98</v>
      </c>
    </row>
    <row r="221" spans="1:32" ht="15.75" customHeight="1">
      <c r="A221" s="5" t="s">
        <v>376</v>
      </c>
      <c r="B221" s="6">
        <v>45711</v>
      </c>
      <c r="C221" s="5" t="s">
        <v>335</v>
      </c>
      <c r="D221" s="5" t="s">
        <v>336</v>
      </c>
      <c r="E221" s="5" t="s">
        <v>63</v>
      </c>
      <c r="F221" s="5" t="s">
        <v>18</v>
      </c>
      <c r="G221" s="5" t="s">
        <v>12</v>
      </c>
      <c r="H221" s="5">
        <v>4</v>
      </c>
      <c r="I221" s="5">
        <v>149.99</v>
      </c>
      <c r="J221" s="5" t="s">
        <v>56</v>
      </c>
      <c r="K221" s="5" t="s">
        <v>5</v>
      </c>
      <c r="L221" s="5" t="s">
        <v>29</v>
      </c>
      <c r="M221" s="6">
        <v>44412</v>
      </c>
      <c r="N221" s="5">
        <v>599.96</v>
      </c>
      <c r="S221" t="str">
        <v>TRX0082</v>
      </c>
      <c r="T221">
        <v>45635</v>
      </c>
      <c r="U221" t="str">
        <v>CUST005</v>
      </c>
      <c r="V221" t="str">
        <v>James Johnson</v>
      </c>
      <c r="W221" t="str">
        <v>P005</v>
      </c>
      <c r="X221" t="str">
        <v>Blender</v>
      </c>
      <c r="Y221" t="str">
        <v>Appliances</v>
      </c>
      <c r="Z221">
        <v>3</v>
      </c>
      <c r="AA221">
        <v>59.99</v>
      </c>
      <c r="AB221" t="str">
        <v>Cash</v>
      </c>
      <c r="AC221" t="str">
        <v>Central</v>
      </c>
      <c r="AD221" t="str">
        <v>Premium</v>
      </c>
      <c r="AE221">
        <v>45052</v>
      </c>
      <c r="AF221">
        <v>179.97</v>
      </c>
    </row>
    <row r="222" spans="1:32" ht="15.75" customHeight="1">
      <c r="A222" s="5" t="s">
        <v>377</v>
      </c>
      <c r="B222" s="6">
        <v>45711</v>
      </c>
      <c r="C222" s="5" t="s">
        <v>221</v>
      </c>
      <c r="D222" s="5" t="s">
        <v>222</v>
      </c>
      <c r="E222" s="5" t="s">
        <v>129</v>
      </c>
      <c r="F222" s="5" t="s">
        <v>22</v>
      </c>
      <c r="G222" s="5" t="s">
        <v>11</v>
      </c>
      <c r="H222" s="5">
        <v>5</v>
      </c>
      <c r="I222" s="5">
        <v>89.99</v>
      </c>
      <c r="J222" s="5" t="s">
        <v>56</v>
      </c>
      <c r="K222" s="5" t="s">
        <v>7</v>
      </c>
      <c r="L222" s="5" t="s">
        <v>29</v>
      </c>
      <c r="M222" s="6">
        <v>45140</v>
      </c>
      <c r="N222" s="5">
        <v>449.95</v>
      </c>
      <c r="S222" t="str">
        <v>TRX0224</v>
      </c>
      <c r="T222">
        <v>45641</v>
      </c>
      <c r="U222" t="str">
        <v>CUST031</v>
      </c>
      <c r="V222" t="str">
        <v>Steven Turner</v>
      </c>
      <c r="W222" t="str">
        <v>P007</v>
      </c>
      <c r="X222" t="str">
        <v>Desk</v>
      </c>
      <c r="Y222" t="str">
        <v>Furniture</v>
      </c>
      <c r="Z222">
        <v>2</v>
      </c>
      <c r="AA222">
        <v>299.99</v>
      </c>
      <c r="AB222" t="str">
        <v>Cash</v>
      </c>
      <c r="AC222" t="str">
        <v>East</v>
      </c>
      <c r="AD222" t="str">
        <v>Premium</v>
      </c>
      <c r="AE222">
        <v>44724</v>
      </c>
      <c r="AF222">
        <v>599.98</v>
      </c>
    </row>
    <row r="223" spans="1:32" ht="15.75" customHeight="1">
      <c r="A223" s="5" t="s">
        <v>378</v>
      </c>
      <c r="B223" s="6">
        <v>45712</v>
      </c>
      <c r="C223" s="5" t="s">
        <v>148</v>
      </c>
      <c r="D223" s="5" t="s">
        <v>149</v>
      </c>
      <c r="E223" s="5" t="s">
        <v>137</v>
      </c>
      <c r="F223" s="5" t="s">
        <v>25</v>
      </c>
      <c r="G223" s="5" t="s">
        <v>12</v>
      </c>
      <c r="H223" s="5">
        <v>2</v>
      </c>
      <c r="I223" s="5">
        <v>199.99</v>
      </c>
      <c r="J223" s="5" t="s">
        <v>47</v>
      </c>
      <c r="K223" s="5" t="s">
        <v>3</v>
      </c>
      <c r="L223" s="5" t="s">
        <v>29</v>
      </c>
      <c r="M223" s="6">
        <v>44573</v>
      </c>
      <c r="N223" s="5">
        <v>399.98</v>
      </c>
      <c r="S223" t="str">
        <v>TRX0164</v>
      </c>
      <c r="T223">
        <v>45648</v>
      </c>
      <c r="U223" t="str">
        <v>CUST014</v>
      </c>
      <c r="V223" t="str">
        <v>Linda Martin</v>
      </c>
      <c r="W223" t="str">
        <v>P003</v>
      </c>
      <c r="X223" t="str">
        <v>Headphones</v>
      </c>
      <c r="Y223" t="str">
        <v>Electronics</v>
      </c>
      <c r="Z223">
        <v>2</v>
      </c>
      <c r="AA223">
        <v>149.99</v>
      </c>
      <c r="AB223" t="str">
        <v>Debit Card</v>
      </c>
      <c r="AC223" t="str">
        <v>West</v>
      </c>
      <c r="AD223" t="str">
        <v>Premium</v>
      </c>
      <c r="AE223">
        <v>45280</v>
      </c>
      <c r="AF223">
        <v>299.98</v>
      </c>
    </row>
    <row r="224" spans="1:32" ht="15.75" customHeight="1">
      <c r="A224" s="5" t="s">
        <v>379</v>
      </c>
      <c r="B224" s="6">
        <v>45715</v>
      </c>
      <c r="C224" s="5" t="s">
        <v>269</v>
      </c>
      <c r="D224" s="5" t="s">
        <v>270</v>
      </c>
      <c r="E224" s="5" t="s">
        <v>55</v>
      </c>
      <c r="F224" s="5" t="s">
        <v>17</v>
      </c>
      <c r="G224" s="5" t="s">
        <v>10</v>
      </c>
      <c r="H224" s="5">
        <v>4</v>
      </c>
      <c r="I224" s="5">
        <v>59.99</v>
      </c>
      <c r="J224" s="5" t="s">
        <v>47</v>
      </c>
      <c r="K224" s="5" t="s">
        <v>7</v>
      </c>
      <c r="L224" s="5" t="s">
        <v>30</v>
      </c>
      <c r="M224" s="6">
        <v>45070</v>
      </c>
      <c r="N224" s="5">
        <v>239.96</v>
      </c>
      <c r="S224" t="str">
        <v>TRX0156</v>
      </c>
      <c r="T224">
        <v>45655</v>
      </c>
      <c r="U224" t="str">
        <v>CUST009</v>
      </c>
      <c r="V224" t="str">
        <v>Robert Thomas</v>
      </c>
      <c r="W224" t="str">
        <v>P010</v>
      </c>
      <c r="X224" t="str">
        <v>Keyboard</v>
      </c>
      <c r="Y224" t="str">
        <v>Electronics</v>
      </c>
      <c r="Z224">
        <v>1</v>
      </c>
      <c r="AA224">
        <v>89.99</v>
      </c>
      <c r="AB224" t="str">
        <v>Credit Card</v>
      </c>
      <c r="AC224" t="str">
        <v>South</v>
      </c>
      <c r="AD224" t="str">
        <v>Premium</v>
      </c>
      <c r="AE224">
        <v>44591</v>
      </c>
      <c r="AF224">
        <v>89.99</v>
      </c>
    </row>
    <row r="225" spans="1:32" ht="15.75" customHeight="1">
      <c r="A225" s="5" t="s">
        <v>380</v>
      </c>
      <c r="B225" s="6">
        <v>45715</v>
      </c>
      <c r="C225" s="5" t="s">
        <v>106</v>
      </c>
      <c r="D225" s="5" t="s">
        <v>107</v>
      </c>
      <c r="E225" s="5" t="s">
        <v>118</v>
      </c>
      <c r="F225" s="5" t="s">
        <v>20</v>
      </c>
      <c r="G225" s="5" t="s">
        <v>12</v>
      </c>
      <c r="H225" s="5">
        <v>2</v>
      </c>
      <c r="I225" s="5">
        <v>299.99</v>
      </c>
      <c r="J225" s="5" t="s">
        <v>56</v>
      </c>
      <c r="K225" s="5" t="s">
        <v>6</v>
      </c>
      <c r="L225" s="5" t="s">
        <v>28</v>
      </c>
      <c r="M225" s="6">
        <v>44576</v>
      </c>
      <c r="N225" s="5">
        <v>599.98</v>
      </c>
      <c r="S225" t="str">
        <v>TRX0147</v>
      </c>
      <c r="T225">
        <v>45655</v>
      </c>
      <c r="U225" t="str">
        <v>CUST036</v>
      </c>
      <c r="V225" t="str">
        <v>Nancy Collins</v>
      </c>
      <c r="W225" t="str">
        <v>P008</v>
      </c>
      <c r="X225" t="str">
        <v>Bookshelf</v>
      </c>
      <c r="Y225" t="str">
        <v>Furniture</v>
      </c>
      <c r="Z225">
        <v>5</v>
      </c>
      <c r="AA225">
        <v>149.99</v>
      </c>
      <c r="AB225" t="str">
        <v>Cash</v>
      </c>
      <c r="AC225" t="str">
        <v>Central</v>
      </c>
      <c r="AD225" t="str">
        <v>Premium</v>
      </c>
      <c r="AE225">
        <v>45347</v>
      </c>
      <c r="AF225">
        <v>749.95</v>
      </c>
    </row>
    <row r="226" spans="1:32" ht="15.75" customHeight="1">
      <c r="A226" s="5" t="s">
        <v>381</v>
      </c>
      <c r="B226" s="6">
        <v>45718</v>
      </c>
      <c r="C226" s="5" t="s">
        <v>70</v>
      </c>
      <c r="D226" s="5" t="s">
        <v>71</v>
      </c>
      <c r="E226" s="5" t="s">
        <v>63</v>
      </c>
      <c r="F226" s="5" t="s">
        <v>18</v>
      </c>
      <c r="G226" s="5" t="s">
        <v>12</v>
      </c>
      <c r="H226" s="5">
        <v>2</v>
      </c>
      <c r="I226" s="5">
        <v>149.99</v>
      </c>
      <c r="J226" s="5" t="s">
        <v>47</v>
      </c>
      <c r="K226" s="5" t="s">
        <v>3</v>
      </c>
      <c r="L226" s="5" t="s">
        <v>28</v>
      </c>
      <c r="M226" s="6">
        <v>45068</v>
      </c>
      <c r="N226" s="5">
        <v>299.98</v>
      </c>
      <c r="S226" t="str">
        <v>TRX0207</v>
      </c>
      <c r="T226">
        <v>45657</v>
      </c>
      <c r="U226" t="str">
        <v>CUST025</v>
      </c>
      <c r="V226" t="str">
        <v>Mark Carter</v>
      </c>
      <c r="W226" t="str">
        <v>P001</v>
      </c>
      <c r="X226" t="str">
        <v>Laptop</v>
      </c>
      <c r="Y226" t="str">
        <v>Electronics</v>
      </c>
      <c r="Z226">
        <v>1</v>
      </c>
      <c r="AA226">
        <v>899.99</v>
      </c>
      <c r="AB226" t="str">
        <v>PayPal</v>
      </c>
      <c r="AC226" t="str">
        <v>North</v>
      </c>
      <c r="AD226" t="str">
        <v>Premium</v>
      </c>
      <c r="AE226">
        <v>45050</v>
      </c>
      <c r="AF226">
        <v>899.99</v>
      </c>
    </row>
    <row r="227" spans="1:32" ht="15.75" customHeight="1">
      <c r="A227" s="5" t="s">
        <v>382</v>
      </c>
      <c r="B227" s="6">
        <v>45720</v>
      </c>
      <c r="C227" s="5" t="s">
        <v>236</v>
      </c>
      <c r="D227" s="5" t="s">
        <v>237</v>
      </c>
      <c r="E227" s="5" t="s">
        <v>94</v>
      </c>
      <c r="F227" s="5" t="s">
        <v>26</v>
      </c>
      <c r="G227" s="5" t="s">
        <v>11</v>
      </c>
      <c r="H227" s="5">
        <v>5</v>
      </c>
      <c r="I227" s="5">
        <v>699.99</v>
      </c>
      <c r="J227" s="5" t="s">
        <v>72</v>
      </c>
      <c r="K227" s="5" t="s">
        <v>4</v>
      </c>
      <c r="L227" s="5" t="s">
        <v>29</v>
      </c>
      <c r="M227" s="6">
        <v>45161</v>
      </c>
      <c r="N227" s="5">
        <v>3499.95</v>
      </c>
      <c r="S227" t="str">
        <v>TRX0056</v>
      </c>
      <c r="T227">
        <v>45660</v>
      </c>
      <c r="U227" t="str">
        <v>CUST019</v>
      </c>
      <c r="V227" t="str">
        <v>Daniel King</v>
      </c>
      <c r="W227" t="str">
        <v>P010</v>
      </c>
      <c r="X227" t="str">
        <v>Keyboard</v>
      </c>
      <c r="Y227" t="str">
        <v>Electronics</v>
      </c>
      <c r="Z227">
        <v>2</v>
      </c>
      <c r="AA227">
        <v>89.99</v>
      </c>
      <c r="AB227" t="str">
        <v>Credit Card</v>
      </c>
      <c r="AC227" t="str">
        <v>South</v>
      </c>
      <c r="AD227" t="str">
        <v>Premium</v>
      </c>
      <c r="AE227">
        <v>44564</v>
      </c>
      <c r="AF227">
        <v>179.98</v>
      </c>
    </row>
    <row r="228" spans="1:32" ht="15.75" customHeight="1">
      <c r="A228" s="5" t="s">
        <v>383</v>
      </c>
      <c r="B228" s="6">
        <v>45721</v>
      </c>
      <c r="C228" s="5" t="s">
        <v>88</v>
      </c>
      <c r="D228" s="5" t="s">
        <v>89</v>
      </c>
      <c r="E228" s="5" t="s">
        <v>55</v>
      </c>
      <c r="F228" s="5" t="s">
        <v>17</v>
      </c>
      <c r="G228" s="5" t="s">
        <v>10</v>
      </c>
      <c r="H228" s="5">
        <v>5</v>
      </c>
      <c r="I228" s="5">
        <v>59.99</v>
      </c>
      <c r="J228" s="5" t="s">
        <v>47</v>
      </c>
      <c r="K228" s="5" t="s">
        <v>7</v>
      </c>
      <c r="L228" s="5" t="s">
        <v>29</v>
      </c>
      <c r="M228" s="6">
        <v>45291</v>
      </c>
      <c r="N228" s="5">
        <v>299.95</v>
      </c>
      <c r="S228" t="str">
        <v>TRX0237</v>
      </c>
      <c r="T228">
        <v>45663</v>
      </c>
      <c r="U228" t="str">
        <v>CUST006</v>
      </c>
      <c r="V228" t="str">
        <v>Lisa Anderson</v>
      </c>
      <c r="W228" t="str">
        <v>P003</v>
      </c>
      <c r="X228" t="str">
        <v>Headphones</v>
      </c>
      <c r="Y228" t="str">
        <v>Electronics</v>
      </c>
      <c r="Z228">
        <v>5</v>
      </c>
      <c r="AA228">
        <v>149.99</v>
      </c>
      <c r="AB228" t="str">
        <v>PayPal</v>
      </c>
      <c r="AC228" t="str">
        <v>East</v>
      </c>
      <c r="AD228" t="str">
        <v>Premium</v>
      </c>
      <c r="AE228">
        <v>44824</v>
      </c>
      <c r="AF228">
        <v>749.95</v>
      </c>
    </row>
    <row r="229" spans="1:32" ht="15.75" customHeight="1">
      <c r="A229" s="5" t="s">
        <v>384</v>
      </c>
      <c r="B229" s="6">
        <v>45723</v>
      </c>
      <c r="C229" s="5" t="s">
        <v>44</v>
      </c>
      <c r="D229" s="5" t="s">
        <v>45</v>
      </c>
      <c r="E229" s="5" t="s">
        <v>129</v>
      </c>
      <c r="F229" s="5" t="s">
        <v>22</v>
      </c>
      <c r="G229" s="5" t="s">
        <v>11</v>
      </c>
      <c r="H229" s="5">
        <v>2</v>
      </c>
      <c r="I229" s="5">
        <v>89.99</v>
      </c>
      <c r="J229" s="5" t="s">
        <v>51</v>
      </c>
      <c r="K229" s="5" t="s">
        <v>7</v>
      </c>
      <c r="L229" s="5" t="s">
        <v>29</v>
      </c>
      <c r="M229" s="6">
        <v>45295</v>
      </c>
      <c r="N229" s="5">
        <v>179.98</v>
      </c>
      <c r="S229" t="str">
        <v>TRX0125</v>
      </c>
      <c r="T229">
        <v>45666</v>
      </c>
      <c r="U229" t="str">
        <v>CUST026</v>
      </c>
      <c r="V229" t="str">
        <v>Karen Hill</v>
      </c>
      <c r="W229" t="str">
        <v>P002</v>
      </c>
      <c r="X229" t="str">
        <v>Smartphone</v>
      </c>
      <c r="Y229" t="str">
        <v>Electronics</v>
      </c>
      <c r="Z229">
        <v>3</v>
      </c>
      <c r="AA229">
        <v>699.99</v>
      </c>
      <c r="AB229" t="str">
        <v>Credit Card</v>
      </c>
      <c r="AC229" t="str">
        <v>Central</v>
      </c>
      <c r="AD229" t="str">
        <v>Premium</v>
      </c>
      <c r="AE229">
        <v>45105</v>
      </c>
      <c r="AF229">
        <v>2099.9699999999998</v>
      </c>
    </row>
    <row r="230" spans="1:32" ht="15.75" customHeight="1">
      <c r="A230" s="5" t="s">
        <v>385</v>
      </c>
      <c r="B230" s="6">
        <v>45723</v>
      </c>
      <c r="C230" s="5" t="s">
        <v>131</v>
      </c>
      <c r="D230" s="5" t="s">
        <v>132</v>
      </c>
      <c r="E230" s="5" t="s">
        <v>46</v>
      </c>
      <c r="F230" s="5" t="s">
        <v>24</v>
      </c>
      <c r="G230" s="5" t="s">
        <v>11</v>
      </c>
      <c r="H230" s="5">
        <v>5</v>
      </c>
      <c r="I230" s="5">
        <v>249.99</v>
      </c>
      <c r="J230" s="5" t="s">
        <v>47</v>
      </c>
      <c r="K230" s="5" t="s">
        <v>4</v>
      </c>
      <c r="L230" s="5" t="s">
        <v>30</v>
      </c>
      <c r="M230" s="6">
        <v>44540</v>
      </c>
      <c r="N230" s="5">
        <v>1249.95</v>
      </c>
      <c r="S230" t="str">
        <v>TRX0238</v>
      </c>
      <c r="T230">
        <v>45668</v>
      </c>
      <c r="U230" t="str">
        <v>CUST038</v>
      </c>
      <c r="V230" t="str">
        <v>Michelle Rogers</v>
      </c>
      <c r="W230" t="str">
        <v>P002</v>
      </c>
      <c r="X230" t="str">
        <v>Smartphone</v>
      </c>
      <c r="Y230" t="str">
        <v>Electronics</v>
      </c>
      <c r="Z230">
        <v>3</v>
      </c>
      <c r="AA230">
        <v>699.99</v>
      </c>
      <c r="AB230" t="str">
        <v>Cash</v>
      </c>
      <c r="AC230" t="str">
        <v>North</v>
      </c>
      <c r="AD230" t="str">
        <v>Premium</v>
      </c>
      <c r="AE230">
        <v>44602</v>
      </c>
      <c r="AF230">
        <v>2099.9699999999998</v>
      </c>
    </row>
    <row r="231" spans="1:32" ht="15.75" customHeight="1">
      <c r="A231" s="5" t="s">
        <v>386</v>
      </c>
      <c r="B231" s="6">
        <v>45724</v>
      </c>
      <c r="C231" s="5" t="s">
        <v>236</v>
      </c>
      <c r="D231" s="5" t="s">
        <v>237</v>
      </c>
      <c r="E231" s="5" t="s">
        <v>63</v>
      </c>
      <c r="F231" s="5" t="s">
        <v>18</v>
      </c>
      <c r="G231" s="5" t="s">
        <v>12</v>
      </c>
      <c r="H231" s="5">
        <v>2</v>
      </c>
      <c r="I231" s="5">
        <v>149.99</v>
      </c>
      <c r="J231" s="5" t="s">
        <v>56</v>
      </c>
      <c r="K231" s="5" t="s">
        <v>3</v>
      </c>
      <c r="L231" s="5" t="s">
        <v>29</v>
      </c>
      <c r="M231" s="6">
        <v>44632</v>
      </c>
      <c r="N231" s="5">
        <v>299.98</v>
      </c>
      <c r="S231" t="str">
        <v>TRX0087</v>
      </c>
      <c r="T231">
        <v>45671</v>
      </c>
      <c r="U231" t="str">
        <v>CUST028</v>
      </c>
      <c r="V231" t="str">
        <v>Betty Campbell</v>
      </c>
      <c r="W231" t="str">
        <v>P009</v>
      </c>
      <c r="X231" t="str">
        <v>Monitor</v>
      </c>
      <c r="Y231" t="str">
        <v>Electronics</v>
      </c>
      <c r="Z231">
        <v>4</v>
      </c>
      <c r="AA231">
        <v>249.99</v>
      </c>
      <c r="AB231" t="str">
        <v>Credit Card</v>
      </c>
      <c r="AC231" t="str">
        <v>North</v>
      </c>
      <c r="AD231" t="str">
        <v>Premium</v>
      </c>
      <c r="AE231">
        <v>44460</v>
      </c>
      <c r="AF231">
        <v>999.96</v>
      </c>
    </row>
    <row r="232" spans="1:32" ht="15.75" customHeight="1">
      <c r="A232" s="5" t="s">
        <v>387</v>
      </c>
      <c r="B232" s="6">
        <v>45724</v>
      </c>
      <c r="C232" s="5" t="s">
        <v>154</v>
      </c>
      <c r="D232" s="5" t="s">
        <v>155</v>
      </c>
      <c r="E232" s="5" t="s">
        <v>76</v>
      </c>
      <c r="F232" s="5" t="s">
        <v>23</v>
      </c>
      <c r="G232" s="5" t="s">
        <v>11</v>
      </c>
      <c r="H232" s="5">
        <v>5</v>
      </c>
      <c r="I232" s="5">
        <v>899.99</v>
      </c>
      <c r="J232" s="5" t="s">
        <v>56</v>
      </c>
      <c r="K232" s="5" t="s">
        <v>4</v>
      </c>
      <c r="L232" s="5" t="s">
        <v>29</v>
      </c>
      <c r="M232" s="6">
        <v>45389</v>
      </c>
      <c r="N232" s="5">
        <v>4499.95</v>
      </c>
      <c r="S232" t="str">
        <v>TRX0159</v>
      </c>
      <c r="T232">
        <v>45683</v>
      </c>
      <c r="U232" t="str">
        <v>CUST024</v>
      </c>
      <c r="V232" t="str">
        <v>Dorothy Nelson</v>
      </c>
      <c r="W232" t="str">
        <v>P009</v>
      </c>
      <c r="X232" t="str">
        <v>Monitor</v>
      </c>
      <c r="Y232" t="str">
        <v>Electronics</v>
      </c>
      <c r="Z232">
        <v>4</v>
      </c>
      <c r="AA232">
        <v>249.99</v>
      </c>
      <c r="AB232" t="str">
        <v>Debit Card</v>
      </c>
      <c r="AC232" t="str">
        <v>Central</v>
      </c>
      <c r="AD232" t="str">
        <v>Premium</v>
      </c>
      <c r="AE232">
        <v>45217</v>
      </c>
      <c r="AF232">
        <v>999.96</v>
      </c>
    </row>
    <row r="233" spans="1:32" ht="15.75" customHeight="1">
      <c r="A233" s="5" t="s">
        <v>388</v>
      </c>
      <c r="B233" s="6">
        <v>45724</v>
      </c>
      <c r="C233" s="5" t="s">
        <v>70</v>
      </c>
      <c r="D233" s="5" t="s">
        <v>71</v>
      </c>
      <c r="E233" s="5" t="s">
        <v>63</v>
      </c>
      <c r="F233" s="5" t="s">
        <v>18</v>
      </c>
      <c r="G233" s="5" t="s">
        <v>12</v>
      </c>
      <c r="H233" s="5">
        <v>4</v>
      </c>
      <c r="I233" s="5">
        <v>149.99</v>
      </c>
      <c r="J233" s="5" t="s">
        <v>47</v>
      </c>
      <c r="K233" s="5" t="s">
        <v>3</v>
      </c>
      <c r="L233" s="5" t="s">
        <v>30</v>
      </c>
      <c r="M233" s="6">
        <v>45263</v>
      </c>
      <c r="N233" s="5">
        <v>599.96</v>
      </c>
      <c r="S233" t="str">
        <v>TRX0188</v>
      </c>
      <c r="T233">
        <v>45686</v>
      </c>
      <c r="U233" t="str">
        <v>CUST045</v>
      </c>
      <c r="V233" t="str">
        <v>Douglas Watson</v>
      </c>
      <c r="W233" t="str">
        <v>P002</v>
      </c>
      <c r="X233" t="str">
        <v>Smartphone</v>
      </c>
      <c r="Y233" t="str">
        <v>Electronics</v>
      </c>
      <c r="Z233">
        <v>2</v>
      </c>
      <c r="AA233">
        <v>699.99</v>
      </c>
      <c r="AB233" t="str">
        <v>Debit Card</v>
      </c>
      <c r="AC233" t="str">
        <v>Central</v>
      </c>
      <c r="AD233" t="str">
        <v>Premium</v>
      </c>
      <c r="AE233">
        <v>44681</v>
      </c>
      <c r="AF233">
        <v>1399.98</v>
      </c>
    </row>
    <row r="234" spans="1:32" ht="15.75" customHeight="1">
      <c r="A234" s="5" t="s">
        <v>389</v>
      </c>
      <c r="B234" s="6">
        <v>45726</v>
      </c>
      <c r="C234" s="5" t="s">
        <v>154</v>
      </c>
      <c r="D234" s="5" t="s">
        <v>155</v>
      </c>
      <c r="E234" s="5" t="s">
        <v>46</v>
      </c>
      <c r="F234" s="5" t="s">
        <v>24</v>
      </c>
      <c r="G234" s="5" t="s">
        <v>11</v>
      </c>
      <c r="H234" s="5">
        <v>1</v>
      </c>
      <c r="I234" s="5">
        <v>249.99</v>
      </c>
      <c r="J234" s="5" t="s">
        <v>47</v>
      </c>
      <c r="K234" s="5" t="s">
        <v>5</v>
      </c>
      <c r="L234" s="5" t="s">
        <v>30</v>
      </c>
      <c r="M234" s="6">
        <v>45117</v>
      </c>
      <c r="N234" s="5">
        <v>249.99</v>
      </c>
      <c r="S234" t="str">
        <v>TRX0010</v>
      </c>
      <c r="T234">
        <v>45688</v>
      </c>
      <c r="U234" t="str">
        <v>CUST026</v>
      </c>
      <c r="V234" t="str">
        <v>Karen Hill</v>
      </c>
      <c r="W234" t="str">
        <v>P002</v>
      </c>
      <c r="X234" t="str">
        <v>Smartphone</v>
      </c>
      <c r="Y234" t="str">
        <v>Electronics</v>
      </c>
      <c r="Z234">
        <v>4</v>
      </c>
      <c r="AA234">
        <v>699.99</v>
      </c>
      <c r="AB234" t="str">
        <v>Debit Card</v>
      </c>
      <c r="AC234" t="str">
        <v>West</v>
      </c>
      <c r="AD234" t="str">
        <v>Premium</v>
      </c>
      <c r="AE234">
        <v>44692</v>
      </c>
      <c r="AF234">
        <v>2799.96</v>
      </c>
    </row>
    <row r="235" spans="1:32" ht="15.75" customHeight="1">
      <c r="A235" s="5" t="s">
        <v>390</v>
      </c>
      <c r="B235" s="6">
        <v>45734</v>
      </c>
      <c r="C235" s="5" t="s">
        <v>202</v>
      </c>
      <c r="D235" s="5" t="s">
        <v>203</v>
      </c>
      <c r="E235" s="5" t="s">
        <v>55</v>
      </c>
      <c r="F235" s="5" t="s">
        <v>17</v>
      </c>
      <c r="G235" s="5" t="s">
        <v>10</v>
      </c>
      <c r="H235" s="5">
        <v>2</v>
      </c>
      <c r="I235" s="5">
        <v>59.99</v>
      </c>
      <c r="J235" s="5" t="s">
        <v>51</v>
      </c>
      <c r="K235" s="5" t="s">
        <v>7</v>
      </c>
      <c r="L235" s="5" t="s">
        <v>28</v>
      </c>
      <c r="M235" s="6">
        <v>45193</v>
      </c>
      <c r="N235" s="5">
        <v>119.98</v>
      </c>
      <c r="S235" t="str">
        <v>TRX0166</v>
      </c>
      <c r="T235">
        <v>45688</v>
      </c>
      <c r="U235" t="str">
        <v>CUST003</v>
      </c>
      <c r="V235" t="str">
        <v>Michael Brown</v>
      </c>
      <c r="W235" t="str">
        <v>P010</v>
      </c>
      <c r="X235" t="str">
        <v>Keyboard</v>
      </c>
      <c r="Y235" t="str">
        <v>Electronics</v>
      </c>
      <c r="Z235">
        <v>3</v>
      </c>
      <c r="AA235">
        <v>89.99</v>
      </c>
      <c r="AB235" t="str">
        <v>Debit Card</v>
      </c>
      <c r="AC235" t="str">
        <v>South</v>
      </c>
      <c r="AD235" t="str">
        <v>Premium</v>
      </c>
      <c r="AE235">
        <v>45307</v>
      </c>
      <c r="AF235">
        <v>269.97000000000003</v>
      </c>
    </row>
    <row r="236" spans="1:32" ht="15.75" customHeight="1">
      <c r="A236" s="5" t="s">
        <v>391</v>
      </c>
      <c r="B236" s="6">
        <v>45737</v>
      </c>
      <c r="C236" s="5" t="s">
        <v>142</v>
      </c>
      <c r="D236" s="5" t="s">
        <v>143</v>
      </c>
      <c r="E236" s="5" t="s">
        <v>63</v>
      </c>
      <c r="F236" s="5" t="s">
        <v>18</v>
      </c>
      <c r="G236" s="5" t="s">
        <v>12</v>
      </c>
      <c r="H236" s="5">
        <v>2</v>
      </c>
      <c r="I236" s="5">
        <v>149.99</v>
      </c>
      <c r="J236" s="5" t="s">
        <v>47</v>
      </c>
      <c r="K236" s="5" t="s">
        <v>7</v>
      </c>
      <c r="L236" s="5" t="s">
        <v>29</v>
      </c>
      <c r="M236" s="6">
        <v>45233</v>
      </c>
      <c r="N236" s="5">
        <v>299.98</v>
      </c>
      <c r="S236" t="str">
        <v>TRX0024</v>
      </c>
      <c r="T236">
        <v>45695</v>
      </c>
      <c r="U236" t="str">
        <v>CUST042</v>
      </c>
      <c r="V236" t="str">
        <v>Ruth Brooks</v>
      </c>
      <c r="W236" t="str">
        <v>P008</v>
      </c>
      <c r="X236" t="str">
        <v>Bookshelf</v>
      </c>
      <c r="Y236" t="str">
        <v>Furniture</v>
      </c>
      <c r="Z236">
        <v>3</v>
      </c>
      <c r="AA236">
        <v>149.99</v>
      </c>
      <c r="AB236" t="str">
        <v>Debit Card</v>
      </c>
      <c r="AC236" t="str">
        <v>North</v>
      </c>
      <c r="AD236" t="str">
        <v>Premium</v>
      </c>
      <c r="AE236">
        <v>44564</v>
      </c>
      <c r="AF236">
        <v>449.97</v>
      </c>
    </row>
    <row r="237" spans="1:32" ht="15.75" customHeight="1">
      <c r="A237" s="5" t="s">
        <v>392</v>
      </c>
      <c r="B237" s="6">
        <v>45737</v>
      </c>
      <c r="C237" s="5" t="s">
        <v>160</v>
      </c>
      <c r="D237" s="5" t="s">
        <v>161</v>
      </c>
      <c r="E237" s="5" t="s">
        <v>76</v>
      </c>
      <c r="F237" s="5" t="s">
        <v>23</v>
      </c>
      <c r="G237" s="5" t="s">
        <v>11</v>
      </c>
      <c r="H237" s="5">
        <v>3</v>
      </c>
      <c r="I237" s="5">
        <v>899.99</v>
      </c>
      <c r="J237" s="5" t="s">
        <v>72</v>
      </c>
      <c r="K237" s="5" t="s">
        <v>5</v>
      </c>
      <c r="L237" s="5" t="s">
        <v>29</v>
      </c>
      <c r="M237" s="6">
        <v>44876</v>
      </c>
      <c r="N237" s="5">
        <v>2699.97</v>
      </c>
      <c r="S237" t="str">
        <v>TRX0187</v>
      </c>
      <c r="T237">
        <v>45701</v>
      </c>
      <c r="U237" t="str">
        <v>CUST036</v>
      </c>
      <c r="V237" t="str">
        <v>Nancy Collins</v>
      </c>
      <c r="W237" t="str">
        <v>P004</v>
      </c>
      <c r="X237" t="str">
        <v>Coffee Maker</v>
      </c>
      <c r="Y237" t="str">
        <v>Appliances</v>
      </c>
      <c r="Z237">
        <v>3</v>
      </c>
      <c r="AA237">
        <v>79.989999999999995</v>
      </c>
      <c r="AB237" t="str">
        <v>Cash</v>
      </c>
      <c r="AC237" t="str">
        <v>East</v>
      </c>
      <c r="AD237" t="str">
        <v>Premium</v>
      </c>
      <c r="AE237">
        <v>44436</v>
      </c>
      <c r="AF237">
        <v>239.97</v>
      </c>
    </row>
    <row r="238" spans="1:32" ht="15.75" customHeight="1">
      <c r="A238" s="5" t="s">
        <v>393</v>
      </c>
      <c r="B238" s="6">
        <v>45737</v>
      </c>
      <c r="C238" s="5" t="s">
        <v>65</v>
      </c>
      <c r="D238" s="5" t="s">
        <v>66</v>
      </c>
      <c r="E238" s="5" t="s">
        <v>76</v>
      </c>
      <c r="F238" s="5" t="s">
        <v>23</v>
      </c>
      <c r="G238" s="5" t="s">
        <v>11</v>
      </c>
      <c r="H238" s="5">
        <v>3</v>
      </c>
      <c r="I238" s="5">
        <v>899.99</v>
      </c>
      <c r="J238" s="5" t="s">
        <v>56</v>
      </c>
      <c r="K238" s="5" t="s">
        <v>5</v>
      </c>
      <c r="L238" s="5" t="s">
        <v>28</v>
      </c>
      <c r="M238" s="6">
        <v>44975</v>
      </c>
      <c r="N238" s="5">
        <v>2699.97</v>
      </c>
      <c r="S238" t="str">
        <v>TRX0118</v>
      </c>
      <c r="T238">
        <v>45705</v>
      </c>
      <c r="U238" t="str">
        <v>CUST015</v>
      </c>
      <c r="V238" t="str">
        <v>Richard Lee</v>
      </c>
      <c r="W238" t="str">
        <v>P008</v>
      </c>
      <c r="X238" t="str">
        <v>Bookshelf</v>
      </c>
      <c r="Y238" t="str">
        <v>Furniture</v>
      </c>
      <c r="Z238">
        <v>2</v>
      </c>
      <c r="AA238">
        <v>149.99</v>
      </c>
      <c r="AB238" t="str">
        <v>Cash</v>
      </c>
      <c r="AC238" t="str">
        <v>South</v>
      </c>
      <c r="AD238" t="str">
        <v>Premium</v>
      </c>
      <c r="AE238">
        <v>44728</v>
      </c>
      <c r="AF238">
        <v>299.98</v>
      </c>
    </row>
    <row r="239" spans="1:32" ht="15.75" customHeight="1">
      <c r="A239" s="5" t="s">
        <v>394</v>
      </c>
      <c r="B239" s="6">
        <v>45739</v>
      </c>
      <c r="C239" s="5" t="s">
        <v>44</v>
      </c>
      <c r="D239" s="5" t="s">
        <v>45</v>
      </c>
      <c r="E239" s="5" t="s">
        <v>118</v>
      </c>
      <c r="F239" s="5" t="s">
        <v>20</v>
      </c>
      <c r="G239" s="5" t="s">
        <v>12</v>
      </c>
      <c r="H239" s="5">
        <v>3</v>
      </c>
      <c r="I239" s="5">
        <v>299.99</v>
      </c>
      <c r="J239" s="5" t="s">
        <v>51</v>
      </c>
      <c r="K239" s="5" t="s">
        <v>7</v>
      </c>
      <c r="L239" s="5" t="s">
        <v>29</v>
      </c>
      <c r="M239" s="6">
        <v>45234</v>
      </c>
      <c r="N239" s="5">
        <v>899.97</v>
      </c>
      <c r="S239" t="str">
        <v>TRX0179</v>
      </c>
      <c r="T239">
        <v>45707</v>
      </c>
      <c r="U239" t="str">
        <v>CUST029</v>
      </c>
      <c r="V239" t="str">
        <v>Edward Mitchell</v>
      </c>
      <c r="W239" t="str">
        <v>P002</v>
      </c>
      <c r="X239" t="str">
        <v>Smartphone</v>
      </c>
      <c r="Y239" t="str">
        <v>Electronics</v>
      </c>
      <c r="Z239">
        <v>5</v>
      </c>
      <c r="AA239">
        <v>699.99</v>
      </c>
      <c r="AB239" t="str">
        <v>PayPal</v>
      </c>
      <c r="AC239" t="str">
        <v>South</v>
      </c>
      <c r="AD239" t="str">
        <v>Premium</v>
      </c>
      <c r="AE239">
        <v>45352</v>
      </c>
      <c r="AF239">
        <v>3499.95</v>
      </c>
    </row>
    <row r="240" spans="1:32" ht="15.75" customHeight="1">
      <c r="A240" s="5" t="s">
        <v>395</v>
      </c>
      <c r="B240" s="6">
        <v>45740</v>
      </c>
      <c r="C240" s="5" t="s">
        <v>396</v>
      </c>
      <c r="D240" s="5" t="s">
        <v>397</v>
      </c>
      <c r="E240" s="5" t="s">
        <v>63</v>
      </c>
      <c r="F240" s="5" t="s">
        <v>18</v>
      </c>
      <c r="G240" s="5" t="s">
        <v>12</v>
      </c>
      <c r="H240" s="5">
        <v>4</v>
      </c>
      <c r="I240" s="5">
        <v>149.99</v>
      </c>
      <c r="J240" s="5" t="s">
        <v>56</v>
      </c>
      <c r="K240" s="5" t="s">
        <v>7</v>
      </c>
      <c r="L240" s="5" t="s">
        <v>30</v>
      </c>
      <c r="M240" s="6">
        <v>44560</v>
      </c>
      <c r="N240" s="5">
        <v>599.96</v>
      </c>
      <c r="S240" t="str">
        <v>TRX0221</v>
      </c>
      <c r="T240">
        <v>45708</v>
      </c>
      <c r="U240" t="str">
        <v>CUST033</v>
      </c>
      <c r="V240" t="str">
        <v>Frank Torres</v>
      </c>
      <c r="W240" t="str">
        <v>P006</v>
      </c>
      <c r="X240" t="str">
        <v>Office Chair</v>
      </c>
      <c r="Y240" t="str">
        <v>Furniture</v>
      </c>
      <c r="Z240">
        <v>3</v>
      </c>
      <c r="AA240">
        <v>199.99</v>
      </c>
      <c r="AB240" t="str">
        <v>Cash</v>
      </c>
      <c r="AC240" t="str">
        <v>West</v>
      </c>
      <c r="AD240" t="str">
        <v>Premium</v>
      </c>
      <c r="AE240">
        <v>44823</v>
      </c>
      <c r="AF240">
        <v>599.97</v>
      </c>
    </row>
    <row r="241" spans="1:32" ht="15.75" customHeight="1">
      <c r="A241" s="5" t="s">
        <v>398</v>
      </c>
      <c r="B241" s="6">
        <v>45743</v>
      </c>
      <c r="C241" s="5" t="s">
        <v>115</v>
      </c>
      <c r="D241" s="5" t="s">
        <v>116</v>
      </c>
      <c r="E241" s="5" t="s">
        <v>127</v>
      </c>
      <c r="F241" s="5" t="s">
        <v>19</v>
      </c>
      <c r="G241" s="5" t="s">
        <v>10</v>
      </c>
      <c r="H241" s="5">
        <v>4</v>
      </c>
      <c r="I241" s="5">
        <v>79.989999999999995</v>
      </c>
      <c r="J241" s="5" t="s">
        <v>51</v>
      </c>
      <c r="K241" s="5" t="s">
        <v>3</v>
      </c>
      <c r="L241" s="5" t="s">
        <v>28</v>
      </c>
      <c r="M241" s="6">
        <v>45288</v>
      </c>
      <c r="N241" s="5">
        <v>319.95999999999998</v>
      </c>
      <c r="S241" t="str">
        <v>TRX0047</v>
      </c>
      <c r="T241">
        <v>45711</v>
      </c>
      <c r="U241" t="str">
        <v>CUST042</v>
      </c>
      <c r="V241" t="str">
        <v>Ruth Brooks</v>
      </c>
      <c r="W241" t="str">
        <v>P002</v>
      </c>
      <c r="X241" t="str">
        <v>Smartphone</v>
      </c>
      <c r="Y241" t="str">
        <v>Electronics</v>
      </c>
      <c r="Z241">
        <v>1</v>
      </c>
      <c r="AA241">
        <v>699.99</v>
      </c>
      <c r="AB241" t="str">
        <v>Cash</v>
      </c>
      <c r="AC241" t="str">
        <v>North</v>
      </c>
      <c r="AD241" t="str">
        <v>Premium</v>
      </c>
      <c r="AE241">
        <v>44583</v>
      </c>
      <c r="AF241">
        <v>699.99</v>
      </c>
    </row>
    <row r="242" spans="1:32" ht="15.75" customHeight="1">
      <c r="A242" s="5" t="s">
        <v>399</v>
      </c>
      <c r="B242" s="6">
        <v>45745</v>
      </c>
      <c r="C242" s="5" t="s">
        <v>195</v>
      </c>
      <c r="D242" s="5" t="s">
        <v>196</v>
      </c>
      <c r="E242" s="5" t="s">
        <v>129</v>
      </c>
      <c r="F242" s="5" t="s">
        <v>22</v>
      </c>
      <c r="G242" s="5" t="s">
        <v>11</v>
      </c>
      <c r="H242" s="5">
        <v>5</v>
      </c>
      <c r="I242" s="5">
        <v>89.99</v>
      </c>
      <c r="J242" s="5" t="s">
        <v>56</v>
      </c>
      <c r="K242" s="5" t="s">
        <v>6</v>
      </c>
      <c r="L242" s="5" t="s">
        <v>28</v>
      </c>
      <c r="M242" s="6">
        <v>44704</v>
      </c>
      <c r="N242" s="5">
        <v>449.95</v>
      </c>
      <c r="S242" t="str">
        <v>TRX0200</v>
      </c>
      <c r="T242">
        <v>45711</v>
      </c>
      <c r="U242" t="str">
        <v>CUST037</v>
      </c>
      <c r="V242" t="str">
        <v>Arthur Edwards</v>
      </c>
      <c r="W242" t="str">
        <v>P008</v>
      </c>
      <c r="X242" t="str">
        <v>Bookshelf</v>
      </c>
      <c r="Y242" t="str">
        <v>Furniture</v>
      </c>
      <c r="Z242">
        <v>4</v>
      </c>
      <c r="AA242">
        <v>149.99</v>
      </c>
      <c r="AB242" t="str">
        <v>PayPal</v>
      </c>
      <c r="AC242" t="str">
        <v>North</v>
      </c>
      <c r="AD242" t="str">
        <v>Premium</v>
      </c>
      <c r="AE242">
        <v>44412</v>
      </c>
      <c r="AF242">
        <v>599.96</v>
      </c>
    </row>
    <row r="243" spans="1:32" ht="15.75" customHeight="1">
      <c r="A243" s="5" t="s">
        <v>400</v>
      </c>
      <c r="B243" s="6">
        <v>45746</v>
      </c>
      <c r="C243" s="5" t="s">
        <v>106</v>
      </c>
      <c r="D243" s="5" t="s">
        <v>107</v>
      </c>
      <c r="E243" s="5" t="s">
        <v>63</v>
      </c>
      <c r="F243" s="5" t="s">
        <v>18</v>
      </c>
      <c r="G243" s="5" t="s">
        <v>12</v>
      </c>
      <c r="H243" s="5">
        <v>3</v>
      </c>
      <c r="I243" s="5">
        <v>149.99</v>
      </c>
      <c r="J243" s="5" t="s">
        <v>56</v>
      </c>
      <c r="K243" s="5" t="s">
        <v>3</v>
      </c>
      <c r="L243" s="5" t="s">
        <v>30</v>
      </c>
      <c r="M243" s="6">
        <v>45171</v>
      </c>
      <c r="N243" s="5">
        <v>449.97</v>
      </c>
      <c r="S243" t="str">
        <v>TRX0062</v>
      </c>
      <c r="T243">
        <v>45711</v>
      </c>
      <c r="U243" t="str">
        <v>CUST016</v>
      </c>
      <c r="V243" t="str">
        <v>Elizabeth Hall</v>
      </c>
      <c r="W243" t="str">
        <v>P010</v>
      </c>
      <c r="X243" t="str">
        <v>Keyboard</v>
      </c>
      <c r="Y243" t="str">
        <v>Electronics</v>
      </c>
      <c r="Z243">
        <v>5</v>
      </c>
      <c r="AA243">
        <v>89.99</v>
      </c>
      <c r="AB243" t="str">
        <v>PayPal</v>
      </c>
      <c r="AC243" t="str">
        <v>West</v>
      </c>
      <c r="AD243" t="str">
        <v>Premium</v>
      </c>
      <c r="AE243">
        <v>45140</v>
      </c>
      <c r="AF243">
        <v>449.95</v>
      </c>
    </row>
    <row r="244" spans="1:32" ht="15.75" customHeight="1">
      <c r="A244" s="5" t="s">
        <v>401</v>
      </c>
      <c r="B244" s="6">
        <v>45746</v>
      </c>
      <c r="C244" s="5" t="s">
        <v>78</v>
      </c>
      <c r="D244" s="5" t="s">
        <v>79</v>
      </c>
      <c r="E244" s="5" t="s">
        <v>129</v>
      </c>
      <c r="F244" s="5" t="s">
        <v>22</v>
      </c>
      <c r="G244" s="5" t="s">
        <v>11</v>
      </c>
      <c r="H244" s="5">
        <v>2</v>
      </c>
      <c r="I244" s="5">
        <v>89.99</v>
      </c>
      <c r="J244" s="5" t="s">
        <v>72</v>
      </c>
      <c r="K244" s="5" t="s">
        <v>7</v>
      </c>
      <c r="L244" s="5" t="s">
        <v>29</v>
      </c>
      <c r="M244" s="6">
        <v>44522</v>
      </c>
      <c r="N244" s="5">
        <v>179.98</v>
      </c>
      <c r="S244" t="str">
        <v>TRX0182</v>
      </c>
      <c r="T244">
        <v>45712</v>
      </c>
      <c r="U244" t="str">
        <v>CUST031</v>
      </c>
      <c r="V244" t="str">
        <v>Steven Turner</v>
      </c>
      <c r="W244" t="str">
        <v>P006</v>
      </c>
      <c r="X244" t="str">
        <v>Office Chair</v>
      </c>
      <c r="Y244" t="str">
        <v>Furniture</v>
      </c>
      <c r="Z244">
        <v>2</v>
      </c>
      <c r="AA244">
        <v>199.99</v>
      </c>
      <c r="AB244" t="str">
        <v>Cash</v>
      </c>
      <c r="AC244" t="str">
        <v>Central</v>
      </c>
      <c r="AD244" t="str">
        <v>Premium</v>
      </c>
      <c r="AE244">
        <v>44573</v>
      </c>
      <c r="AF244">
        <v>399.98</v>
      </c>
    </row>
    <row r="245" spans="1:32" ht="15.75" customHeight="1">
      <c r="A245" s="5" t="s">
        <v>402</v>
      </c>
      <c r="B245" s="6">
        <v>45748</v>
      </c>
      <c r="C245" s="5" t="s">
        <v>115</v>
      </c>
      <c r="D245" s="5" t="s">
        <v>116</v>
      </c>
      <c r="E245" s="5" t="s">
        <v>94</v>
      </c>
      <c r="F245" s="5" t="s">
        <v>26</v>
      </c>
      <c r="G245" s="5" t="s">
        <v>11</v>
      </c>
      <c r="H245" s="5">
        <v>2</v>
      </c>
      <c r="I245" s="5">
        <v>699.99</v>
      </c>
      <c r="J245" s="5" t="s">
        <v>56</v>
      </c>
      <c r="K245" s="5" t="s">
        <v>5</v>
      </c>
      <c r="L245" s="5" t="s">
        <v>30</v>
      </c>
      <c r="M245" s="6">
        <v>44618</v>
      </c>
      <c r="N245" s="5">
        <v>1399.98</v>
      </c>
      <c r="S245" t="str">
        <v>TRX0226</v>
      </c>
      <c r="T245">
        <v>45720</v>
      </c>
      <c r="U245" t="str">
        <v>CUST039</v>
      </c>
      <c r="V245" t="str">
        <v>Lawrence Reed</v>
      </c>
      <c r="W245" t="str">
        <v>P002</v>
      </c>
      <c r="X245" t="str">
        <v>Smartphone</v>
      </c>
      <c r="Y245" t="str">
        <v>Electronics</v>
      </c>
      <c r="Z245">
        <v>5</v>
      </c>
      <c r="AA245">
        <v>699.99</v>
      </c>
      <c r="AB245" t="str">
        <v>Debit Card</v>
      </c>
      <c r="AC245" t="str">
        <v>East</v>
      </c>
      <c r="AD245" t="str">
        <v>Premium</v>
      </c>
      <c r="AE245">
        <v>45161</v>
      </c>
      <c r="AF245">
        <v>3499.95</v>
      </c>
    </row>
    <row r="246" spans="1:32" ht="15.75" customHeight="1">
      <c r="A246" s="5" t="s">
        <v>403</v>
      </c>
      <c r="B246" s="6">
        <v>45749</v>
      </c>
      <c r="C246" s="5" t="s">
        <v>134</v>
      </c>
      <c r="D246" s="5" t="s">
        <v>135</v>
      </c>
      <c r="E246" s="5" t="s">
        <v>76</v>
      </c>
      <c r="F246" s="5" t="s">
        <v>23</v>
      </c>
      <c r="G246" s="5" t="s">
        <v>11</v>
      </c>
      <c r="H246" s="5">
        <v>3</v>
      </c>
      <c r="I246" s="5">
        <v>899.99</v>
      </c>
      <c r="J246" s="5" t="s">
        <v>47</v>
      </c>
      <c r="K246" s="5" t="s">
        <v>3</v>
      </c>
      <c r="L246" s="5" t="s">
        <v>30</v>
      </c>
      <c r="M246" s="6">
        <v>44953</v>
      </c>
      <c r="N246" s="5">
        <v>2699.97</v>
      </c>
      <c r="S246" t="str">
        <v>TRX0053</v>
      </c>
      <c r="T246">
        <v>45721</v>
      </c>
      <c r="U246" t="str">
        <v>CUST043</v>
      </c>
      <c r="V246" t="str">
        <v>Dennis Gray</v>
      </c>
      <c r="W246" t="str">
        <v>P005</v>
      </c>
      <c r="X246" t="str">
        <v>Blender</v>
      </c>
      <c r="Y246" t="str">
        <v>Appliances</v>
      </c>
      <c r="Z246">
        <v>5</v>
      </c>
      <c r="AA246">
        <v>59.99</v>
      </c>
      <c r="AB246" t="str">
        <v>Cash</v>
      </c>
      <c r="AC246" t="str">
        <v>West</v>
      </c>
      <c r="AD246" t="str">
        <v>Premium</v>
      </c>
      <c r="AE246">
        <v>45291</v>
      </c>
      <c r="AF246">
        <v>299.95</v>
      </c>
    </row>
    <row r="247" spans="1:32" ht="15.75" customHeight="1">
      <c r="A247" s="5" t="s">
        <v>404</v>
      </c>
      <c r="B247" s="6">
        <v>45755</v>
      </c>
      <c r="C247" s="5" t="s">
        <v>106</v>
      </c>
      <c r="D247" s="5" t="s">
        <v>107</v>
      </c>
      <c r="E247" s="5" t="s">
        <v>127</v>
      </c>
      <c r="F247" s="5" t="s">
        <v>19</v>
      </c>
      <c r="G247" s="5" t="s">
        <v>10</v>
      </c>
      <c r="H247" s="5">
        <v>3</v>
      </c>
      <c r="I247" s="5">
        <v>79.989999999999995</v>
      </c>
      <c r="J247" s="5" t="s">
        <v>51</v>
      </c>
      <c r="K247" s="5" t="s">
        <v>5</v>
      </c>
      <c r="L247" s="5" t="s">
        <v>28</v>
      </c>
      <c r="M247" s="6">
        <v>44511</v>
      </c>
      <c r="N247" s="5">
        <v>239.97</v>
      </c>
      <c r="S247" t="str">
        <v>TRX0233</v>
      </c>
      <c r="T247">
        <v>45723</v>
      </c>
      <c r="U247" t="str">
        <v>CUST023</v>
      </c>
      <c r="V247" t="str">
        <v>Paul Baker</v>
      </c>
      <c r="W247" t="str">
        <v>P010</v>
      </c>
      <c r="X247" t="str">
        <v>Keyboard</v>
      </c>
      <c r="Y247" t="str">
        <v>Electronics</v>
      </c>
      <c r="Z247">
        <v>2</v>
      </c>
      <c r="AA247">
        <v>89.99</v>
      </c>
      <c r="AB247" t="str">
        <v>Credit Card</v>
      </c>
      <c r="AC247" t="str">
        <v>West</v>
      </c>
      <c r="AD247" t="str">
        <v>Premium</v>
      </c>
      <c r="AE247">
        <v>45295</v>
      </c>
      <c r="AF247">
        <v>179.98</v>
      </c>
    </row>
    <row r="248" spans="1:32" ht="15.75" customHeight="1">
      <c r="A248" s="5" t="s">
        <v>405</v>
      </c>
      <c r="B248" s="6">
        <v>45756</v>
      </c>
      <c r="C248" s="5" t="s">
        <v>74</v>
      </c>
      <c r="D248" s="5" t="s">
        <v>75</v>
      </c>
      <c r="E248" s="5" t="s">
        <v>129</v>
      </c>
      <c r="F248" s="5" t="s">
        <v>22</v>
      </c>
      <c r="G248" s="5" t="s">
        <v>11</v>
      </c>
      <c r="H248" s="5">
        <v>1</v>
      </c>
      <c r="I248" s="5">
        <v>89.99</v>
      </c>
      <c r="J248" s="5" t="s">
        <v>72</v>
      </c>
      <c r="K248" s="5" t="s">
        <v>4</v>
      </c>
      <c r="L248" s="5" t="s">
        <v>28</v>
      </c>
      <c r="M248" s="6">
        <v>45346</v>
      </c>
      <c r="N248" s="5">
        <v>89.99</v>
      </c>
      <c r="S248" t="str">
        <v>TRX0186</v>
      </c>
      <c r="T248">
        <v>45724</v>
      </c>
      <c r="U248" t="str">
        <v>CUST039</v>
      </c>
      <c r="V248" t="str">
        <v>Lawrence Reed</v>
      </c>
      <c r="W248" t="str">
        <v>P008</v>
      </c>
      <c r="X248" t="str">
        <v>Bookshelf</v>
      </c>
      <c r="Y248" t="str">
        <v>Furniture</v>
      </c>
      <c r="Z248">
        <v>2</v>
      </c>
      <c r="AA248">
        <v>149.99</v>
      </c>
      <c r="AB248" t="str">
        <v>PayPal</v>
      </c>
      <c r="AC248" t="str">
        <v>Central</v>
      </c>
      <c r="AD248" t="str">
        <v>Premium</v>
      </c>
      <c r="AE248">
        <v>44632</v>
      </c>
      <c r="AF248">
        <v>299.98</v>
      </c>
    </row>
    <row r="249" spans="1:32" ht="15.75" customHeight="1">
      <c r="A249" s="5" t="s">
        <v>406</v>
      </c>
      <c r="B249" s="6">
        <v>45758</v>
      </c>
      <c r="C249" s="5" t="s">
        <v>303</v>
      </c>
      <c r="D249" s="5" t="s">
        <v>304</v>
      </c>
      <c r="E249" s="5" t="s">
        <v>94</v>
      </c>
      <c r="F249" s="5" t="s">
        <v>26</v>
      </c>
      <c r="G249" s="5" t="s">
        <v>11</v>
      </c>
      <c r="H249" s="5">
        <v>3</v>
      </c>
      <c r="I249" s="5">
        <v>699.99</v>
      </c>
      <c r="J249" s="5" t="s">
        <v>56</v>
      </c>
      <c r="K249" s="5" t="s">
        <v>5</v>
      </c>
      <c r="L249" s="5" t="s">
        <v>28</v>
      </c>
      <c r="M249" s="6">
        <v>44909</v>
      </c>
      <c r="N249" s="5">
        <v>2099.9699999999998</v>
      </c>
      <c r="S249" t="str">
        <v>TRX0016</v>
      </c>
      <c r="T249">
        <v>45724</v>
      </c>
      <c r="U249" t="str">
        <v>CUST035</v>
      </c>
      <c r="V249" t="str">
        <v>Harry Morgan</v>
      </c>
      <c r="W249" t="str">
        <v>P001</v>
      </c>
      <c r="X249" t="str">
        <v>Laptop</v>
      </c>
      <c r="Y249" t="str">
        <v>Electronics</v>
      </c>
      <c r="Z249">
        <v>5</v>
      </c>
      <c r="AA249">
        <v>899.99</v>
      </c>
      <c r="AB249" t="str">
        <v>PayPal</v>
      </c>
      <c r="AC249" t="str">
        <v>East</v>
      </c>
      <c r="AD249" t="str">
        <v>Premium</v>
      </c>
      <c r="AE249">
        <v>45389</v>
      </c>
      <c r="AF249">
        <v>4499.95</v>
      </c>
    </row>
    <row r="250" spans="1:32" ht="15.75" customHeight="1">
      <c r="A250" s="5" t="s">
        <v>407</v>
      </c>
      <c r="B250" s="6">
        <v>45758</v>
      </c>
      <c r="C250" s="5" t="s">
        <v>236</v>
      </c>
      <c r="D250" s="5" t="s">
        <v>237</v>
      </c>
      <c r="E250" s="5" t="s">
        <v>129</v>
      </c>
      <c r="F250" s="5" t="s">
        <v>22</v>
      </c>
      <c r="G250" s="5" t="s">
        <v>11</v>
      </c>
      <c r="H250" s="5">
        <v>2</v>
      </c>
      <c r="I250" s="5">
        <v>89.99</v>
      </c>
      <c r="J250" s="5" t="s">
        <v>72</v>
      </c>
      <c r="K250" s="5" t="s">
        <v>4</v>
      </c>
      <c r="L250" s="5" t="s">
        <v>28</v>
      </c>
      <c r="M250" s="6">
        <v>45088</v>
      </c>
      <c r="N250" s="5">
        <v>179.98</v>
      </c>
      <c r="S250" t="str">
        <v>TRX0003</v>
      </c>
      <c r="T250">
        <v>45737</v>
      </c>
      <c r="U250" t="str">
        <v>CUST002</v>
      </c>
      <c r="V250" t="str">
        <v>Emma Wilson</v>
      </c>
      <c r="W250" t="str">
        <v>P008</v>
      </c>
      <c r="X250" t="str">
        <v>Bookshelf</v>
      </c>
      <c r="Y250" t="str">
        <v>Furniture</v>
      </c>
      <c r="Z250">
        <v>2</v>
      </c>
      <c r="AA250">
        <v>149.99</v>
      </c>
      <c r="AB250" t="str">
        <v>Cash</v>
      </c>
      <c r="AC250" t="str">
        <v>West</v>
      </c>
      <c r="AD250" t="str">
        <v>Premium</v>
      </c>
      <c r="AE250">
        <v>45233</v>
      </c>
      <c r="AF250">
        <v>299.98</v>
      </c>
    </row>
    <row r="251" spans="1:32" ht="15.75" customHeight="1">
      <c r="A251" s="5" t="s">
        <v>408</v>
      </c>
      <c r="B251" s="6">
        <v>45758</v>
      </c>
      <c r="C251" s="5" t="s">
        <v>148</v>
      </c>
      <c r="D251" s="5" t="s">
        <v>149</v>
      </c>
      <c r="E251" s="5" t="s">
        <v>129</v>
      </c>
      <c r="F251" s="5" t="s">
        <v>22</v>
      </c>
      <c r="G251" s="5" t="s">
        <v>11</v>
      </c>
      <c r="H251" s="5">
        <v>3</v>
      </c>
      <c r="I251" s="5">
        <v>89.99</v>
      </c>
      <c r="J251" s="5" t="s">
        <v>72</v>
      </c>
      <c r="K251" s="5" t="s">
        <v>5</v>
      </c>
      <c r="L251" s="5" t="s">
        <v>29</v>
      </c>
      <c r="M251" s="6">
        <v>44878</v>
      </c>
      <c r="N251" s="5">
        <v>269.97000000000003</v>
      </c>
      <c r="S251" t="str">
        <v>TRX0124</v>
      </c>
      <c r="T251">
        <v>45737</v>
      </c>
      <c r="U251" t="str">
        <v>CUST040</v>
      </c>
      <c r="V251" t="str">
        <v>Sharon Butler</v>
      </c>
      <c r="W251" t="str">
        <v>P001</v>
      </c>
      <c r="X251" t="str">
        <v>Laptop</v>
      </c>
      <c r="Y251" t="str">
        <v>Electronics</v>
      </c>
      <c r="Z251">
        <v>3</v>
      </c>
      <c r="AA251">
        <v>899.99</v>
      </c>
      <c r="AB251" t="str">
        <v>Debit Card</v>
      </c>
      <c r="AC251" t="str">
        <v>North</v>
      </c>
      <c r="AD251" t="str">
        <v>Premium</v>
      </c>
      <c r="AE251">
        <v>44876</v>
      </c>
      <c r="AF251">
        <v>2699.97</v>
      </c>
    </row>
    <row r="252" spans="1:32" ht="15.75" customHeight="1">
      <c r="S252" t="str">
        <v>TRX0019</v>
      </c>
      <c r="T252">
        <v>45739</v>
      </c>
      <c r="U252" t="str">
        <v>CUST023</v>
      </c>
      <c r="V252" t="str">
        <v>Paul Baker</v>
      </c>
      <c r="W252" t="str">
        <v>P007</v>
      </c>
      <c r="X252" t="str">
        <v>Desk</v>
      </c>
      <c r="Y252" t="str">
        <v>Furniture</v>
      </c>
      <c r="Z252">
        <v>3</v>
      </c>
      <c r="AA252">
        <v>299.99</v>
      </c>
      <c r="AB252" t="str">
        <v>Credit Card</v>
      </c>
      <c r="AC252" t="str">
        <v>West</v>
      </c>
      <c r="AD252" t="str">
        <v>Premium</v>
      </c>
      <c r="AE252">
        <v>45234</v>
      </c>
      <c r="AF252">
        <v>899.97</v>
      </c>
    </row>
    <row r="253" spans="1:32" ht="15.75" customHeight="1">
      <c r="S253" t="str">
        <v>TRX0250</v>
      </c>
      <c r="T253">
        <v>45746</v>
      </c>
      <c r="U253" t="str">
        <v>CUST026</v>
      </c>
      <c r="V253" t="str">
        <v>Karen Hill</v>
      </c>
      <c r="W253" t="str">
        <v>P010</v>
      </c>
      <c r="X253" t="str">
        <v>Keyboard</v>
      </c>
      <c r="Y253" t="str">
        <v>Electronics</v>
      </c>
      <c r="Z253">
        <v>2</v>
      </c>
      <c r="AA253">
        <v>89.99</v>
      </c>
      <c r="AB253" t="str">
        <v>Debit Card</v>
      </c>
      <c r="AC253" t="str">
        <v>West</v>
      </c>
      <c r="AD253" t="str">
        <v>Premium</v>
      </c>
      <c r="AE253">
        <v>44522</v>
      </c>
      <c r="AF253">
        <v>179.98</v>
      </c>
    </row>
    <row r="254" spans="1:32" ht="15.75" customHeight="1">
      <c r="S254" t="str">
        <v>TRX0064</v>
      </c>
      <c r="T254">
        <v>45758</v>
      </c>
      <c r="U254" t="str">
        <v>CUST031</v>
      </c>
      <c r="V254" t="str">
        <v>Steven Turner</v>
      </c>
      <c r="W254" t="str">
        <v>P010</v>
      </c>
      <c r="X254" t="str">
        <v>Keyboard</v>
      </c>
      <c r="Y254" t="str">
        <v>Electronics</v>
      </c>
      <c r="Z254">
        <v>3</v>
      </c>
      <c r="AA254">
        <v>89.99</v>
      </c>
      <c r="AB254" t="str">
        <v>Debit Card</v>
      </c>
      <c r="AC254" t="str">
        <v>North</v>
      </c>
      <c r="AD254" t="str">
        <v>Premium</v>
      </c>
      <c r="AE254">
        <v>44878</v>
      </c>
      <c r="AF254">
        <v>269.97000000000003</v>
      </c>
    </row>
    <row r="255" spans="1:32" ht="15.75" customHeight="1"/>
    <row r="256" spans="1:32" ht="15.75" customHeight="1">
      <c r="S256" s="10" t="s">
        <v>409</v>
      </c>
    </row>
    <row r="257" spans="19:19" ht="15.75" customHeight="1"/>
    <row r="258" spans="19:19" ht="15.75" customHeight="1">
      <c r="S258" s="12">
        <f ca="1">NOW()</f>
        <v>46016.62766377315</v>
      </c>
    </row>
    <row r="259" spans="19:19" ht="15.75" customHeight="1"/>
    <row r="260" spans="19:19" ht="15.75" customHeight="1">
      <c r="S260" s="10" t="s">
        <v>410</v>
      </c>
    </row>
    <row r="261" spans="19:19" ht="15.75" customHeight="1"/>
    <row r="262" spans="19:19" ht="15.75" customHeight="1">
      <c r="S262" s="10" t="s">
        <v>411</v>
      </c>
    </row>
    <row r="263" spans="19:19" ht="15.75" customHeight="1"/>
    <row r="264" spans="19:19" ht="15.75" customHeight="1">
      <c r="S264" s="10" t="s">
        <v>412</v>
      </c>
    </row>
    <row r="265" spans="19:19" ht="15.75" customHeight="1"/>
    <row r="266" spans="19:19" ht="15.75" customHeight="1">
      <c r="S266" s="10" t="s">
        <v>413</v>
      </c>
    </row>
    <row r="267" spans="19:19" ht="15.75" customHeight="1"/>
    <row r="268" spans="19:19" ht="15.75" customHeight="1">
      <c r="S268">
        <f>SUMIF(C2:C251,C2,N2:N251)</f>
        <v>8309.739999999998</v>
      </c>
    </row>
    <row r="269" spans="19:19" ht="15.75" customHeight="1"/>
    <row r="270" spans="19:19" ht="15.75" customHeight="1">
      <c r="S270" t="str">
        <f>IF(SUMIF(C2:C251,C2,N2:N251)&gt;1000,"High Value","Normal")</f>
        <v>High Value</v>
      </c>
    </row>
    <row r="271" spans="19:19" ht="15.75" customHeight="1"/>
    <row r="272" spans="19:19" ht="15.75" customHeight="1">
      <c r="S272" s="10" t="s">
        <v>414</v>
      </c>
    </row>
    <row r="273" spans="19:19" ht="15.75" customHeight="1"/>
    <row r="274" spans="19:19" ht="15.75" customHeight="1">
      <c r="S274" s="10" t="s">
        <v>415</v>
      </c>
    </row>
    <row r="275" spans="19:19" ht="15.75" customHeight="1">
      <c r="S275">
        <f>SUM(N2:N251)</f>
        <v>229192.47000000032</v>
      </c>
    </row>
    <row r="276" spans="19:19" ht="15.75" customHeight="1"/>
    <row r="277" spans="19:19" ht="15.75" customHeight="1">
      <c r="S277" s="10" t="s">
        <v>416</v>
      </c>
    </row>
    <row r="278" spans="19:19" ht="15.75" customHeight="1">
      <c r="S278">
        <f>COUNTA(_xlfn.UNIQUE(C2:C251))</f>
        <v>50</v>
      </c>
    </row>
    <row r="279" spans="19:19" ht="15.75" customHeight="1"/>
    <row r="280" spans="19:19" ht="15.75" customHeight="1">
      <c r="S280" s="10" t="s">
        <v>417</v>
      </c>
    </row>
    <row r="281" spans="19:19" ht="15.75" customHeight="1">
      <c r="S281">
        <f>COUNTA(A2:A251)</f>
        <v>250</v>
      </c>
    </row>
    <row r="282" spans="19:19" ht="15.75" customHeight="1"/>
    <row r="283" spans="19:19" ht="15.75" customHeight="1">
      <c r="S283" s="10" t="s">
        <v>418</v>
      </c>
    </row>
    <row r="284" spans="19:19" ht="15.75" customHeight="1"/>
    <row r="285" spans="19:19" ht="15.75" customHeight="1">
      <c r="S285" t="str" cm="1">
        <f t="array" ref="S285">INDEX(G2:G251,MODE(MATCH(G2:G251,G2:G251,0)))</f>
        <v>Electronics</v>
      </c>
    </row>
    <row r="286" spans="19:19" ht="15.75" customHeight="1"/>
    <row r="287" spans="19:19" ht="15.75" customHeight="1">
      <c r="S287" s="10" t="s">
        <v>419</v>
      </c>
    </row>
    <row r="288" spans="19:19" ht="15.75" customHeight="1"/>
    <row r="289" spans="19:19" ht="15.75" customHeight="1">
      <c r="S289" t="str">
        <f>IF(ISNUMBER(MATCH(A2,[1]Sheet2!A:A,0)),"Match","No Match")</f>
        <v>No Match</v>
      </c>
    </row>
    <row r="290" spans="19:19" ht="15.75" customHeight="1"/>
    <row r="291" spans="19:19" ht="15.75" customHeight="1">
      <c r="S291" s="10" t="s">
        <v>420</v>
      </c>
    </row>
    <row r="292" spans="19:19" ht="15.75" customHeight="1"/>
    <row r="293" spans="19:19" ht="15.75" customHeight="1">
      <c r="S293" s="10" t="s">
        <v>421</v>
      </c>
    </row>
    <row r="294" spans="19:19" ht="15.75" customHeight="1">
      <c r="S294" t="str">
        <f>LEFT(G2,3)</f>
        <v>Ele</v>
      </c>
    </row>
    <row r="295" spans="19:19" ht="15.75" customHeight="1"/>
    <row r="296" spans="19:19" ht="15.75" customHeight="1">
      <c r="S296" s="10"/>
    </row>
    <row r="297" spans="19:19" ht="15.75" customHeight="1"/>
    <row r="298" spans="19:19" ht="15.75" customHeight="1"/>
    <row r="299" spans="19:19" ht="15.75" customHeight="1"/>
    <row r="300" spans="19:19" ht="15.75" customHeight="1"/>
    <row r="301" spans="19:19" ht="15.75" customHeight="1"/>
    <row r="302" spans="19:19" ht="15.75" customHeight="1"/>
    <row r="303" spans="19:19" ht="15.75" customHeight="1"/>
    <row r="304" spans="19:1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N2:N25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2025-12-22T07:51:57Z</dcterms:created>
  <dcterms:modified xsi:type="dcterms:W3CDTF">2025-12-25T09:36:11Z</dcterms:modified>
  <cp:category/>
  <cp:contentStatus/>
</cp:coreProperties>
</file>